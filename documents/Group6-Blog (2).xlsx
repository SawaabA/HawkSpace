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 sheetId="1" r:id="rId4"/>
  </sheets>
  <definedNames/>
  <calcPr/>
  <extLst>
    <ext uri="GoogleSheetsCustomDataVersion2">
      <go:sheetsCustomData xmlns:go="http://customooxmlschemas.google.com/" r:id="rId5" roundtripDataChecksum="VXW5HrKn94wAriiiPEzYE51iIUdAd8F6SEAtajxsf8A="/>
    </ext>
  </extLst>
</workbook>
</file>

<file path=xl/sharedStrings.xml><?xml version="1.0" encoding="utf-8"?>
<sst xmlns="http://schemas.openxmlformats.org/spreadsheetml/2006/main" count="54" uniqueCount="48">
  <si>
    <t>Team Members</t>
  </si>
  <si>
    <r>
      <rPr>
        <rFont val="Calibri"/>
        <b/>
        <color theme="1"/>
        <sz val="11.0"/>
      </rPr>
      <t>Instructions:</t>
    </r>
    <r>
      <rPr>
        <rFont val="Calibri"/>
        <color theme="1"/>
        <sz val="11.0"/>
      </rPr>
      <t xml:space="preserve"> Fill in only the green portions.  For the activities table, put number 1 in the square under each name if that individual participated in that activity. The number of hours for each individual will be calculated automatically. Adjust the cell size to ensure all text is visible as needed. Add more rows as necessary</t>
    </r>
  </si>
  <si>
    <t xml:space="preserve">First Name </t>
  </si>
  <si>
    <t>Last Name</t>
  </si>
  <si>
    <t>Nickname (max 6 characters)</t>
  </si>
  <si>
    <t>Sawaab</t>
  </si>
  <si>
    <t>Anas</t>
  </si>
  <si>
    <t>SA</t>
  </si>
  <si>
    <t>Manahil</t>
  </si>
  <si>
    <t>Bashir</t>
  </si>
  <si>
    <t>MB</t>
  </si>
  <si>
    <t>Mary Joleene</t>
  </si>
  <si>
    <t>Ismael</t>
  </si>
  <si>
    <t>MJI</t>
  </si>
  <si>
    <t>Asmah Yasin</t>
  </si>
  <si>
    <t>Mohamed</t>
  </si>
  <si>
    <t>AYM</t>
  </si>
  <si>
    <t>Muqadas</t>
  </si>
  <si>
    <t>Nazif</t>
  </si>
  <si>
    <t>MN</t>
  </si>
  <si>
    <t>Efetobore</t>
  </si>
  <si>
    <t>Salubi</t>
  </si>
  <si>
    <t>ES</t>
  </si>
  <si>
    <t>Activities Table</t>
  </si>
  <si>
    <t>Date</t>
  </si>
  <si>
    <t>Who</t>
  </si>
  <si>
    <t>Type of Activty</t>
  </si>
  <si>
    <t>Number of hours spent</t>
  </si>
  <si>
    <t xml:space="preserve">Purpose </t>
  </si>
  <si>
    <t>Output</t>
  </si>
  <si>
    <t>Hours spent</t>
  </si>
  <si>
    <t>Milestone 1</t>
  </si>
  <si>
    <t>Meeting</t>
  </si>
  <si>
    <t>Select a project and establish goals</t>
  </si>
  <si>
    <t>Custom project selected, and initial scope outlined</t>
  </si>
  <si>
    <t>Work remotely</t>
  </si>
  <si>
    <t>Completion of project document for submission</t>
  </si>
  <si>
    <t>Submit project milestone</t>
  </si>
  <si>
    <t>Total hours</t>
  </si>
  <si>
    <t>Total team hours</t>
  </si>
  <si>
    <t xml:space="preserve">Milestone 2 </t>
  </si>
  <si>
    <t>Sprint 1</t>
  </si>
  <si>
    <t>Sprint 2</t>
  </si>
  <si>
    <t>Total Team hours</t>
  </si>
  <si>
    <t>Sprint 3</t>
  </si>
  <si>
    <t>total team hours</t>
  </si>
  <si>
    <t>Total hour over project</t>
  </si>
  <si>
    <t>Total team hours over project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</si>
</sst>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mm&quot;-&quot;yy"/>
  </numFmts>
  <fonts count="5">
    <font>
      <sz val="11.0"/>
      <color theme="1"/>
      <name val="Calibri"/>
      <scheme val="minor"/>
    </font>
    <font>
      <sz val="11.0"/>
      <color theme="1"/>
      <name val="Calibri"/>
    </font>
    <font/>
    <font>
      <sz val="11.0"/>
      <color rgb="FF006100"/>
      <name val="Calibri"/>
    </font>
    <font>
      <b/>
      <sz val="11.0"/>
      <color theme="1"/>
      <name val="Calibri"/>
    </font>
  </fonts>
  <fills count="4">
    <fill>
      <patternFill patternType="none"/>
    </fill>
    <fill>
      <patternFill patternType="lightGray"/>
    </fill>
    <fill>
      <patternFill patternType="solid">
        <fgColor rgb="FFC6EFCE"/>
        <bgColor rgb="FFC6EFCE"/>
      </patternFill>
    </fill>
    <fill>
      <patternFill patternType="solid">
        <fgColor rgb="FFD8D8D8"/>
        <bgColor rgb="FFD8D8D8"/>
      </patternFill>
    </fill>
  </fills>
  <borders count="32">
    <border/>
    <border>
      <left style="thin">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thin">
        <color rgb="FF000000"/>
      </left>
    </border>
    <border>
      <left style="thin">
        <color rgb="FF000000"/>
      </left>
      <right style="thick">
        <color rgb="FF000000"/>
      </right>
    </border>
    <border>
      <left style="thick">
        <color rgb="FF000000"/>
      </left>
      <right style="thick">
        <color rgb="FF000000"/>
      </right>
    </border>
    <border>
      <left style="thick">
        <color rgb="FF000000"/>
      </left>
    </border>
    <border>
      <left style="thin">
        <color rgb="FF000000"/>
      </left>
      <right style="thick">
        <color rgb="FF000000"/>
      </right>
      <top style="thick">
        <color rgb="FF000000"/>
      </top>
      <bottom style="thin">
        <color rgb="FF000000"/>
      </bottom>
    </border>
    <border>
      <left style="thick">
        <color rgb="FF000000"/>
      </left>
      <right style="thick">
        <color rgb="FF000000"/>
      </right>
      <top style="thick">
        <color rgb="FF000000"/>
      </top>
      <bottom style="thin">
        <color rgb="FF000000"/>
      </bottom>
    </border>
    <border>
      <left style="thick">
        <color rgb="FF000000"/>
      </left>
      <top style="thick">
        <color rgb="FF000000"/>
      </top>
      <bottom style="thin">
        <color rgb="FF000000"/>
      </bottom>
    </border>
    <border>
      <left style="thin">
        <color rgb="FF000000"/>
      </left>
      <right/>
      <top/>
      <bottom/>
    </border>
    <border>
      <left/>
      <right/>
      <top/>
      <bottom/>
    </border>
    <border>
      <left style="thin">
        <color rgb="FF000000"/>
      </left>
      <right/>
      <top/>
      <bottom style="thin">
        <color rgb="FF000000"/>
      </bottom>
    </border>
    <border>
      <left/>
      <right/>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rder>
    <border>
      <top style="thin">
        <color rgb="FF000000"/>
      </top>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style="thin">
        <color rgb="FF000000"/>
      </right>
      <top/>
      <bottom/>
    </border>
    <border>
      <left style="thin">
        <color rgb="FF000000"/>
      </left>
      <bottom style="thin">
        <color rgb="FF000000"/>
      </bottom>
    </border>
    <border>
      <bottom style="thin">
        <color rgb="FF000000"/>
      </bottom>
    </border>
    <border>
      <left/>
      <right style="thin">
        <color rgb="FF000000"/>
      </right>
      <top/>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4" fillId="0" fontId="1" numFmtId="0" xfId="0" applyAlignment="1" applyBorder="1" applyFont="1">
      <alignment horizontal="center" shrinkToFit="0" vertical="center" wrapText="1"/>
    </xf>
    <xf borderId="0" fillId="0" fontId="1" numFmtId="0" xfId="0" applyAlignment="1" applyFont="1">
      <alignment horizontal="left" shrinkToFit="0" vertical="top" wrapText="1"/>
    </xf>
    <xf borderId="5" fillId="0" fontId="1" numFmtId="0" xfId="0" applyAlignment="1" applyBorder="1" applyFont="1">
      <alignment horizontal="center"/>
    </xf>
    <xf borderId="6" fillId="0" fontId="1" numFmtId="0" xfId="0" applyAlignment="1" applyBorder="1" applyFont="1">
      <alignment horizontal="center"/>
    </xf>
    <xf borderId="7" fillId="0" fontId="1" numFmtId="0" xfId="0" applyAlignment="1" applyBorder="1" applyFont="1">
      <alignment horizontal="center"/>
    </xf>
    <xf borderId="4" fillId="0" fontId="2" numFmtId="0" xfId="0" applyBorder="1" applyFont="1"/>
    <xf borderId="8" fillId="0" fontId="1" numFmtId="0" xfId="0" applyBorder="1" applyFont="1"/>
    <xf borderId="9" fillId="0" fontId="1" numFmtId="0" xfId="0" applyBorder="1" applyFont="1"/>
    <xf borderId="10" fillId="0" fontId="1" numFmtId="0" xfId="0" applyAlignment="1" applyBorder="1" applyFont="1">
      <alignment shrinkToFit="0" wrapText="1"/>
    </xf>
    <xf borderId="11" fillId="2" fontId="3" numFmtId="0" xfId="0" applyBorder="1" applyFill="1" applyFont="1"/>
    <xf borderId="12" fillId="2" fontId="3" numFmtId="0" xfId="0" applyBorder="1" applyFont="1"/>
    <xf borderId="12" fillId="2" fontId="3" numFmtId="0" xfId="0" applyAlignment="1" applyBorder="1" applyFont="1">
      <alignment readingOrder="0"/>
    </xf>
    <xf borderId="4" fillId="0" fontId="1" numFmtId="0" xfId="0" applyBorder="1" applyFont="1"/>
    <xf borderId="13" fillId="2" fontId="3" numFmtId="0" xfId="0" applyBorder="1" applyFont="1"/>
    <xf borderId="14" fillId="2" fontId="3" numFmtId="0" xfId="0" applyBorder="1" applyFont="1"/>
    <xf borderId="14" fillId="2" fontId="3" numFmtId="0" xfId="0" applyAlignment="1" applyBorder="1" applyFont="1">
      <alignment readingOrder="0"/>
    </xf>
    <xf borderId="0" fillId="0" fontId="4" numFmtId="0" xfId="0" applyFont="1"/>
    <xf borderId="15" fillId="0" fontId="1" numFmtId="0" xfId="0" applyAlignment="1" applyBorder="1" applyFont="1">
      <alignment horizontal="center" vertical="top"/>
    </xf>
    <xf borderId="16" fillId="0" fontId="1" numFmtId="0" xfId="0" applyAlignment="1" applyBorder="1" applyFont="1">
      <alignment horizontal="center"/>
    </xf>
    <xf borderId="17" fillId="0" fontId="2" numFmtId="0" xfId="0" applyBorder="1" applyFont="1"/>
    <xf borderId="18" fillId="0" fontId="2" numFmtId="0" xfId="0" applyBorder="1" applyFont="1"/>
    <xf borderId="15" fillId="0" fontId="1" numFmtId="0" xfId="0" applyAlignment="1" applyBorder="1" applyFont="1">
      <alignment horizontal="center" vertical="center"/>
    </xf>
    <xf borderId="15" fillId="0" fontId="1" numFmtId="0" xfId="0" applyAlignment="1" applyBorder="1" applyFont="1">
      <alignment horizontal="center" shrinkToFit="0" vertical="center" wrapText="1"/>
    </xf>
    <xf borderId="19" fillId="0" fontId="1" numFmtId="0" xfId="0" applyBorder="1" applyFont="1"/>
    <xf borderId="20" fillId="0" fontId="2" numFmtId="0" xfId="0" applyBorder="1" applyFont="1"/>
    <xf borderId="21" fillId="0" fontId="1" numFmtId="0" xfId="0" applyAlignment="1" applyBorder="1" applyFont="1">
      <alignment shrinkToFit="0" vertical="top" wrapText="1"/>
    </xf>
    <xf borderId="22" fillId="0" fontId="1" numFmtId="0" xfId="0" applyBorder="1" applyFont="1"/>
    <xf borderId="23" fillId="0" fontId="4" numFmtId="0" xfId="0" applyAlignment="1" applyBorder="1" applyFont="1">
      <alignment horizontal="center" vertical="top"/>
    </xf>
    <xf borderId="24" fillId="0" fontId="1" numFmtId="0" xfId="0" applyAlignment="1" applyBorder="1" applyFont="1">
      <alignment shrinkToFit="0" vertical="top" wrapText="1"/>
    </xf>
    <xf borderId="24" fillId="0" fontId="1" numFmtId="0" xfId="0" applyAlignment="1" applyBorder="1" applyFont="1">
      <alignment horizontal="center" vertical="center"/>
    </xf>
    <xf borderId="24" fillId="0" fontId="1" numFmtId="0" xfId="0" applyAlignment="1" applyBorder="1" applyFont="1">
      <alignment horizontal="center" shrinkToFit="0" vertical="center" wrapText="1"/>
    </xf>
    <xf borderId="19" fillId="0" fontId="1" numFmtId="0" xfId="0" applyAlignment="1" applyBorder="1" applyFont="1">
      <alignment horizontal="center" vertical="center"/>
    </xf>
    <xf borderId="23" fillId="0" fontId="1" numFmtId="0" xfId="0" applyAlignment="1" applyBorder="1" applyFont="1">
      <alignment shrinkToFit="0" vertical="top" wrapText="1"/>
    </xf>
    <xf borderId="19" fillId="0" fontId="1" numFmtId="0" xfId="0" applyAlignment="1" applyBorder="1" applyFont="1">
      <alignment shrinkToFit="0" vertical="top" wrapText="1"/>
    </xf>
    <xf borderId="25" fillId="2" fontId="3" numFmtId="164" xfId="0" applyAlignment="1" applyBorder="1" applyFont="1" applyNumberFormat="1">
      <alignment readingOrder="0" shrinkToFit="0" vertical="top" wrapText="1"/>
    </xf>
    <xf borderId="26" fillId="2" fontId="3" numFmtId="0" xfId="0" applyAlignment="1" applyBorder="1" applyFont="1">
      <alignment shrinkToFit="0" vertical="top" wrapText="1"/>
    </xf>
    <xf borderId="26" fillId="2" fontId="3" numFmtId="0" xfId="0" applyAlignment="1" applyBorder="1" applyFont="1">
      <alignment horizontal="center" shrinkToFit="0" vertical="center" wrapText="1"/>
    </xf>
    <xf borderId="26" fillId="2" fontId="3" numFmtId="0" xfId="0" applyAlignment="1" applyBorder="1" applyFont="1">
      <alignment readingOrder="0" shrinkToFit="0" vertical="top" wrapText="1"/>
    </xf>
    <xf borderId="27" fillId="2" fontId="3" numFmtId="0" xfId="0" applyAlignment="1" applyBorder="1" applyFont="1">
      <alignment readingOrder="0" shrinkToFit="0" vertical="top" wrapText="1"/>
    </xf>
    <xf borderId="11" fillId="2" fontId="3" numFmtId="164" xfId="0" applyAlignment="1" applyBorder="1" applyFont="1" applyNumberFormat="1">
      <alignment readingOrder="0" shrinkToFit="0" vertical="top" wrapText="1"/>
    </xf>
    <xf borderId="12" fillId="2" fontId="3" numFmtId="0" xfId="0" applyAlignment="1" applyBorder="1" applyFont="1">
      <alignment shrinkToFit="0" vertical="top" wrapText="1"/>
    </xf>
    <xf borderId="12" fillId="2" fontId="3" numFmtId="0" xfId="0" applyAlignment="1" applyBorder="1" applyFont="1">
      <alignment readingOrder="0" shrinkToFit="0" vertical="top" wrapText="1"/>
    </xf>
    <xf borderId="12" fillId="2" fontId="3" numFmtId="0" xfId="0" applyAlignment="1" applyBorder="1" applyFont="1">
      <alignment horizontal="center" readingOrder="0" shrinkToFit="0" vertical="center" wrapText="1"/>
    </xf>
    <xf borderId="28" fillId="2" fontId="3" numFmtId="0" xfId="0" applyAlignment="1" applyBorder="1" applyFont="1">
      <alignment readingOrder="0" shrinkToFit="0" vertical="top" wrapText="1"/>
    </xf>
    <xf borderId="28" fillId="3" fontId="4" numFmtId="0" xfId="0" applyAlignment="1" applyBorder="1" applyFill="1" applyFont="1">
      <alignment shrinkToFit="0" vertical="top" wrapText="1"/>
    </xf>
    <xf borderId="12" fillId="3" fontId="4" numFmtId="0" xfId="0" applyBorder="1" applyFont="1"/>
    <xf borderId="28" fillId="3" fontId="4" numFmtId="0" xfId="0" applyBorder="1" applyFont="1"/>
    <xf borderId="12" fillId="3" fontId="4" numFmtId="0" xfId="0" applyAlignment="1" applyBorder="1" applyFont="1">
      <alignment shrinkToFit="0" vertical="top" wrapText="1"/>
    </xf>
    <xf borderId="13" fillId="3" fontId="4" numFmtId="0" xfId="0" applyBorder="1" applyFont="1"/>
    <xf borderId="4" fillId="0" fontId="4" numFmtId="0" xfId="0" applyBorder="1" applyFont="1"/>
    <xf borderId="11" fillId="2" fontId="3" numFmtId="15" xfId="0" applyAlignment="1" applyBorder="1" applyFont="1" applyNumberFormat="1">
      <alignment shrinkToFit="0" vertical="top" wrapText="1"/>
    </xf>
    <xf borderId="12" fillId="2" fontId="3" numFmtId="0" xfId="0" applyAlignment="1" applyBorder="1" applyFont="1">
      <alignment horizontal="center" shrinkToFit="0" vertical="center" wrapText="1"/>
    </xf>
    <xf borderId="28" fillId="2" fontId="3" numFmtId="0" xfId="0" applyAlignment="1" applyBorder="1" applyFont="1">
      <alignment shrinkToFit="0" vertical="top" wrapText="1"/>
    </xf>
    <xf borderId="16" fillId="0" fontId="1" numFmtId="0" xfId="0" applyAlignment="1" applyBorder="1" applyFont="1">
      <alignment shrinkToFit="0" vertical="top" wrapText="1"/>
    </xf>
    <xf borderId="17" fillId="0" fontId="1" numFmtId="0" xfId="0" applyAlignment="1" applyBorder="1" applyFont="1">
      <alignment shrinkToFit="0" vertical="top" wrapText="1"/>
    </xf>
    <xf borderId="18" fillId="0" fontId="1" numFmtId="0" xfId="0" applyAlignment="1" applyBorder="1" applyFont="1">
      <alignment shrinkToFit="0" vertical="top" wrapText="1"/>
    </xf>
    <xf borderId="0" fillId="0" fontId="1" numFmtId="0" xfId="0" applyAlignment="1" applyFont="1">
      <alignment shrinkToFit="0" vertical="top" wrapText="1"/>
    </xf>
    <xf borderId="22" fillId="0" fontId="1" numFmtId="0" xfId="0" applyAlignment="1" applyBorder="1" applyFont="1">
      <alignment shrinkToFit="0" vertical="top" wrapText="1"/>
    </xf>
    <xf borderId="11" fillId="3" fontId="4" numFmtId="0" xfId="0" applyBorder="1" applyFont="1"/>
    <xf borderId="29" fillId="0" fontId="1" numFmtId="0" xfId="0" applyBorder="1" applyFont="1"/>
    <xf borderId="12" fillId="3" fontId="4" numFmtId="0" xfId="0" applyAlignment="1" applyBorder="1" applyFont="1">
      <alignment shrinkToFit="0" wrapText="1"/>
    </xf>
    <xf borderId="30" fillId="0" fontId="1" numFmtId="0" xfId="0" applyBorder="1" applyFont="1"/>
    <xf borderId="14" fillId="3" fontId="4" numFmtId="0" xfId="0" applyAlignment="1" applyBorder="1" applyFont="1">
      <alignment horizontal="right" shrinkToFit="0" wrapText="1"/>
    </xf>
    <xf borderId="14" fillId="3" fontId="4" numFmtId="0" xfId="0" applyBorder="1" applyFont="1"/>
    <xf borderId="31" fillId="3" fontId="4"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3" width="2.14"/>
    <col customWidth="1" min="4" max="4" width="1.71"/>
    <col customWidth="1" min="5" max="7" width="2.14"/>
    <col customWidth="1" min="8" max="8" width="13.43"/>
    <col customWidth="1" min="9" max="9" width="15.29"/>
    <col customWidth="1" min="10" max="10" width="21.86"/>
    <col customWidth="1" min="11" max="11" width="17.71"/>
    <col customWidth="1" min="12" max="18" width="8.86"/>
    <col customWidth="1" min="19" max="19" width="35.71"/>
    <col customWidth="1" min="20" max="26" width="8.86"/>
  </cols>
  <sheetData>
    <row r="3" ht="16.5" customHeight="1">
      <c r="H3" s="1" t="s">
        <v>0</v>
      </c>
      <c r="I3" s="2"/>
      <c r="J3" s="3"/>
      <c r="K3" s="4"/>
      <c r="S3" s="5" t="s">
        <v>1</v>
      </c>
    </row>
    <row r="4">
      <c r="H4" s="6"/>
      <c r="I4" s="7"/>
      <c r="J4" s="8"/>
      <c r="K4" s="9"/>
    </row>
    <row r="5">
      <c r="H5" s="10" t="s">
        <v>2</v>
      </c>
      <c r="I5" s="11" t="s">
        <v>3</v>
      </c>
      <c r="J5" s="12" t="s">
        <v>4</v>
      </c>
      <c r="K5" s="9"/>
    </row>
    <row r="6">
      <c r="H6" s="13" t="s">
        <v>5</v>
      </c>
      <c r="I6" s="14" t="s">
        <v>6</v>
      </c>
      <c r="J6" s="15" t="s">
        <v>7</v>
      </c>
      <c r="K6" s="16"/>
    </row>
    <row r="7">
      <c r="H7" s="13" t="s">
        <v>8</v>
      </c>
      <c r="I7" s="14" t="s">
        <v>9</v>
      </c>
      <c r="J7" s="15" t="s">
        <v>10</v>
      </c>
      <c r="K7" s="16"/>
    </row>
    <row r="8">
      <c r="H8" s="13" t="s">
        <v>11</v>
      </c>
      <c r="I8" s="14" t="s">
        <v>12</v>
      </c>
      <c r="J8" s="14" t="s">
        <v>13</v>
      </c>
      <c r="K8" s="16"/>
    </row>
    <row r="9">
      <c r="H9" s="13" t="s">
        <v>14</v>
      </c>
      <c r="I9" s="14" t="s">
        <v>15</v>
      </c>
      <c r="J9" s="15" t="s">
        <v>16</v>
      </c>
      <c r="K9" s="16"/>
    </row>
    <row r="10">
      <c r="H10" s="13" t="s">
        <v>17</v>
      </c>
      <c r="I10" s="14" t="s">
        <v>18</v>
      </c>
      <c r="J10" s="15" t="s">
        <v>19</v>
      </c>
      <c r="K10" s="16"/>
    </row>
    <row r="11">
      <c r="H11" s="17" t="s">
        <v>20</v>
      </c>
      <c r="I11" s="18" t="s">
        <v>21</v>
      </c>
      <c r="J11" s="19" t="s">
        <v>22</v>
      </c>
      <c r="K11" s="16"/>
    </row>
    <row r="14">
      <c r="A14" s="20" t="s">
        <v>23</v>
      </c>
    </row>
    <row r="15">
      <c r="A15" s="21" t="s">
        <v>24</v>
      </c>
      <c r="B15" s="22" t="s">
        <v>25</v>
      </c>
      <c r="C15" s="23"/>
      <c r="D15" s="23"/>
      <c r="E15" s="23"/>
      <c r="F15" s="23"/>
      <c r="G15" s="24"/>
      <c r="H15" s="25" t="s">
        <v>26</v>
      </c>
      <c r="I15" s="26" t="s">
        <v>27</v>
      </c>
      <c r="J15" s="25" t="s">
        <v>28</v>
      </c>
      <c r="K15" s="25" t="s">
        <v>29</v>
      </c>
      <c r="L15" s="22" t="s">
        <v>30</v>
      </c>
      <c r="M15" s="23"/>
      <c r="N15" s="23"/>
      <c r="O15" s="23"/>
      <c r="P15" s="23"/>
      <c r="Q15" s="24"/>
      <c r="R15" s="27"/>
    </row>
    <row r="16">
      <c r="A16" s="28"/>
      <c r="B16" s="29" t="str">
        <f>$J$6</f>
        <v>SA</v>
      </c>
      <c r="C16" s="29" t="str">
        <f>$J$7</f>
        <v>MB</v>
      </c>
      <c r="D16" s="29" t="str">
        <f>$J$8</f>
        <v>MJI</v>
      </c>
      <c r="E16" s="29" t="str">
        <f>$J$9</f>
        <v>AYM</v>
      </c>
      <c r="F16" s="29" t="str">
        <f>$J$10</f>
        <v>MN</v>
      </c>
      <c r="G16" s="29" t="str">
        <f>$J$11</f>
        <v>ES</v>
      </c>
      <c r="H16" s="28"/>
      <c r="I16" s="28"/>
      <c r="J16" s="28"/>
      <c r="K16" s="28"/>
      <c r="L16" s="29" t="str">
        <f>$J$6</f>
        <v>SA</v>
      </c>
      <c r="M16" s="29" t="str">
        <f>$J$7</f>
        <v>MB</v>
      </c>
      <c r="N16" s="29" t="str">
        <f>$J$8</f>
        <v>MJI</v>
      </c>
      <c r="O16" s="29" t="str">
        <f>$J$9</f>
        <v>AYM</v>
      </c>
      <c r="P16" s="29" t="str">
        <f>$J$10</f>
        <v>MN</v>
      </c>
      <c r="Q16" s="29" t="str">
        <f>$J$11</f>
        <v>ES</v>
      </c>
      <c r="R16" s="30"/>
    </row>
    <row r="17">
      <c r="A17" s="31" t="s">
        <v>31</v>
      </c>
      <c r="B17" s="32"/>
      <c r="C17" s="32"/>
      <c r="D17" s="32"/>
      <c r="E17" s="32"/>
      <c r="F17" s="32"/>
      <c r="G17" s="32"/>
      <c r="H17" s="33"/>
      <c r="I17" s="34"/>
      <c r="J17" s="33"/>
      <c r="K17" s="35"/>
      <c r="L17" s="36"/>
      <c r="M17" s="32"/>
      <c r="N17" s="32"/>
      <c r="O17" s="32"/>
      <c r="P17" s="32"/>
      <c r="Q17" s="37"/>
      <c r="R17" s="30"/>
    </row>
    <row r="18" ht="54.0" customHeight="1">
      <c r="A18" s="38">
        <v>45923.0</v>
      </c>
      <c r="B18" s="39">
        <v>1.0</v>
      </c>
      <c r="C18" s="39">
        <v>1.0</v>
      </c>
      <c r="D18" s="39">
        <v>1.0</v>
      </c>
      <c r="E18" s="39">
        <v>1.0</v>
      </c>
      <c r="F18" s="39">
        <v>1.0</v>
      </c>
      <c r="G18" s="39">
        <v>1.0</v>
      </c>
      <c r="H18" s="39" t="s">
        <v>32</v>
      </c>
      <c r="I18" s="40">
        <v>1.5</v>
      </c>
      <c r="J18" s="41" t="s">
        <v>33</v>
      </c>
      <c r="K18" s="42" t="s">
        <v>34</v>
      </c>
      <c r="L18" s="36">
        <f t="shared" ref="L18:Q18" si="1">B18*$I18</f>
        <v>1.5</v>
      </c>
      <c r="M18" s="32">
        <f t="shared" si="1"/>
        <v>1.5</v>
      </c>
      <c r="N18" s="32">
        <f t="shared" si="1"/>
        <v>1.5</v>
      </c>
      <c r="O18" s="32">
        <f t="shared" si="1"/>
        <v>1.5</v>
      </c>
      <c r="P18" s="32">
        <f t="shared" si="1"/>
        <v>1.5</v>
      </c>
      <c r="Q18" s="37">
        <f t="shared" si="1"/>
        <v>1.5</v>
      </c>
      <c r="R18" s="30"/>
    </row>
    <row r="19" ht="58.5" customHeight="1">
      <c r="A19" s="43">
        <v>45926.0</v>
      </c>
      <c r="B19" s="44">
        <v>1.0</v>
      </c>
      <c r="C19" s="44">
        <v>1.0</v>
      </c>
      <c r="D19" s="44">
        <v>1.0</v>
      </c>
      <c r="E19" s="44">
        <v>1.0</v>
      </c>
      <c r="F19" s="44">
        <v>1.0</v>
      </c>
      <c r="G19" s="44">
        <v>1.0</v>
      </c>
      <c r="H19" s="45" t="s">
        <v>35</v>
      </c>
      <c r="I19" s="46">
        <v>1.0</v>
      </c>
      <c r="J19" s="45" t="s">
        <v>36</v>
      </c>
      <c r="K19" s="47" t="s">
        <v>37</v>
      </c>
      <c r="L19" s="36">
        <f t="shared" ref="L19:Q19" si="2">B19*$I19</f>
        <v>1</v>
      </c>
      <c r="M19" s="32">
        <f t="shared" si="2"/>
        <v>1</v>
      </c>
      <c r="N19" s="32">
        <f t="shared" si="2"/>
        <v>1</v>
      </c>
      <c r="O19" s="32">
        <f t="shared" si="2"/>
        <v>1</v>
      </c>
      <c r="P19" s="32">
        <f t="shared" si="2"/>
        <v>1</v>
      </c>
      <c r="Q19" s="37">
        <f t="shared" si="2"/>
        <v>1</v>
      </c>
      <c r="R19" s="30"/>
    </row>
    <row r="20" ht="18.0" customHeight="1">
      <c r="A20" s="16"/>
      <c r="K20" s="48" t="s">
        <v>38</v>
      </c>
      <c r="L20" s="49">
        <f t="shared" ref="L20:Q20" si="3">SUM(L13:L19)</f>
        <v>2.5</v>
      </c>
      <c r="M20" s="49">
        <f t="shared" si="3"/>
        <v>2.5</v>
      </c>
      <c r="N20" s="49">
        <f t="shared" si="3"/>
        <v>2.5</v>
      </c>
      <c r="O20" s="49">
        <f t="shared" si="3"/>
        <v>2.5</v>
      </c>
      <c r="P20" s="49">
        <f t="shared" si="3"/>
        <v>2.5</v>
      </c>
      <c r="Q20" s="50">
        <f t="shared" si="3"/>
        <v>2.5</v>
      </c>
      <c r="R20" s="50"/>
    </row>
    <row r="21" ht="16.5" customHeight="1">
      <c r="A21" s="16"/>
      <c r="K21" s="51" t="s">
        <v>39</v>
      </c>
      <c r="L21" s="52"/>
      <c r="M21" s="49"/>
      <c r="N21" s="49"/>
      <c r="O21" s="49"/>
      <c r="P21" s="49"/>
      <c r="Q21" s="50"/>
      <c r="R21" s="50">
        <f>SUM(L20:Q20)</f>
        <v>15</v>
      </c>
    </row>
    <row r="22" ht="19.5" customHeight="1">
      <c r="A22" s="53" t="s">
        <v>40</v>
      </c>
      <c r="L22" s="36"/>
      <c r="M22" s="32"/>
      <c r="N22" s="32"/>
      <c r="O22" s="32"/>
      <c r="P22" s="32"/>
      <c r="Q22" s="37"/>
      <c r="R22" s="30"/>
    </row>
    <row r="23" ht="51.0" customHeight="1">
      <c r="A23" s="54"/>
      <c r="B23" s="44"/>
      <c r="C23" s="45"/>
      <c r="D23" s="45"/>
      <c r="E23" s="45"/>
      <c r="F23" s="45"/>
      <c r="G23" s="45"/>
      <c r="H23" s="44"/>
      <c r="I23" s="55"/>
      <c r="J23" s="44"/>
      <c r="K23" s="56"/>
      <c r="L23" s="57">
        <f t="shared" ref="L23:Q23" si="4">B23*$I23</f>
        <v>0</v>
      </c>
      <c r="M23" s="58">
        <f t="shared" si="4"/>
        <v>0</v>
      </c>
      <c r="N23" s="58">
        <f t="shared" si="4"/>
        <v>0</v>
      </c>
      <c r="O23" s="58">
        <f t="shared" si="4"/>
        <v>0</v>
      </c>
      <c r="P23" s="58">
        <f t="shared" si="4"/>
        <v>0</v>
      </c>
      <c r="Q23" s="59">
        <f t="shared" si="4"/>
        <v>0</v>
      </c>
      <c r="R23" s="30"/>
    </row>
    <row r="24" ht="51.0" customHeight="1">
      <c r="A24" s="54"/>
      <c r="B24" s="44"/>
      <c r="C24" s="44"/>
      <c r="D24" s="44"/>
      <c r="E24" s="44"/>
      <c r="F24" s="44"/>
      <c r="G24" s="44"/>
      <c r="H24" s="44"/>
      <c r="I24" s="55"/>
      <c r="J24" s="44"/>
      <c r="K24" s="56"/>
      <c r="L24" s="60"/>
      <c r="M24" s="60"/>
      <c r="N24" s="60"/>
      <c r="O24" s="60"/>
      <c r="P24" s="60"/>
      <c r="Q24" s="61"/>
      <c r="R24" s="30"/>
    </row>
    <row r="25" ht="15.75" customHeight="1">
      <c r="A25" s="16"/>
      <c r="H25" s="60"/>
      <c r="K25" s="48" t="s">
        <v>38</v>
      </c>
      <c r="L25" s="49">
        <f t="shared" ref="L25:Q25" si="5">SUM(L23:L24)</f>
        <v>0</v>
      </c>
      <c r="M25" s="49">
        <f t="shared" si="5"/>
        <v>0</v>
      </c>
      <c r="N25" s="49">
        <f t="shared" si="5"/>
        <v>0</v>
      </c>
      <c r="O25" s="49">
        <f t="shared" si="5"/>
        <v>0</v>
      </c>
      <c r="P25" s="49">
        <f t="shared" si="5"/>
        <v>0</v>
      </c>
      <c r="Q25" s="50">
        <f t="shared" si="5"/>
        <v>0</v>
      </c>
      <c r="R25" s="50"/>
    </row>
    <row r="26" ht="15.75" customHeight="1">
      <c r="A26" s="16"/>
      <c r="K26" s="51" t="s">
        <v>39</v>
      </c>
      <c r="L26" s="62"/>
      <c r="M26" s="49"/>
      <c r="N26" s="49"/>
      <c r="O26" s="49"/>
      <c r="P26" s="49"/>
      <c r="Q26" s="50"/>
      <c r="R26" s="50">
        <f>SUM(L25:Q25)</f>
        <v>0</v>
      </c>
    </row>
    <row r="27" ht="15.75" customHeight="1">
      <c r="A27" s="16"/>
      <c r="L27" s="63"/>
      <c r="Q27" s="30"/>
      <c r="R27" s="30"/>
    </row>
    <row r="28" ht="15.75" customHeight="1">
      <c r="A28" s="53" t="s">
        <v>41</v>
      </c>
      <c r="L28" s="36"/>
      <c r="M28" s="32"/>
      <c r="N28" s="32"/>
      <c r="O28" s="32"/>
      <c r="P28" s="32"/>
      <c r="Q28" s="37"/>
      <c r="R28" s="30"/>
    </row>
    <row r="29" ht="15.75" customHeight="1">
      <c r="A29" s="54"/>
      <c r="B29" s="44"/>
      <c r="C29" s="44"/>
      <c r="D29" s="44"/>
      <c r="E29" s="44"/>
      <c r="F29" s="45"/>
      <c r="G29" s="44"/>
      <c r="H29" s="44"/>
      <c r="I29" s="55"/>
      <c r="J29" s="44"/>
      <c r="K29" s="56"/>
      <c r="L29" s="57">
        <f t="shared" ref="L29:Q29" si="6">B29*$I29</f>
        <v>0</v>
      </c>
      <c r="M29" s="58">
        <f t="shared" si="6"/>
        <v>0</v>
      </c>
      <c r="N29" s="58">
        <f t="shared" si="6"/>
        <v>0</v>
      </c>
      <c r="O29" s="58">
        <f t="shared" si="6"/>
        <v>0</v>
      </c>
      <c r="P29" s="58">
        <f t="shared" si="6"/>
        <v>0</v>
      </c>
      <c r="Q29" s="59">
        <f t="shared" si="6"/>
        <v>0</v>
      </c>
      <c r="R29" s="30"/>
    </row>
    <row r="30" ht="15.75" customHeight="1">
      <c r="A30" s="54"/>
      <c r="B30" s="44"/>
      <c r="C30" s="44"/>
      <c r="D30" s="44"/>
      <c r="E30" s="44"/>
      <c r="F30" s="44"/>
      <c r="G30" s="44"/>
      <c r="H30" s="44"/>
      <c r="I30" s="55"/>
      <c r="J30" s="44"/>
      <c r="K30" s="56"/>
      <c r="L30" s="60"/>
      <c r="M30" s="60"/>
      <c r="N30" s="60"/>
      <c r="O30" s="60"/>
      <c r="P30" s="60"/>
      <c r="Q30" s="61"/>
      <c r="R30" s="30"/>
    </row>
    <row r="31" ht="15.75" customHeight="1">
      <c r="A31" s="16"/>
      <c r="H31" s="60"/>
      <c r="K31" s="48" t="s">
        <v>38</v>
      </c>
      <c r="L31" s="49">
        <f t="shared" ref="L31:Q31" si="7">SUM(L29:L30)</f>
        <v>0</v>
      </c>
      <c r="M31" s="49">
        <f t="shared" si="7"/>
        <v>0</v>
      </c>
      <c r="N31" s="49">
        <f t="shared" si="7"/>
        <v>0</v>
      </c>
      <c r="O31" s="49">
        <f t="shared" si="7"/>
        <v>0</v>
      </c>
      <c r="P31" s="49">
        <f t="shared" si="7"/>
        <v>0</v>
      </c>
      <c r="Q31" s="50">
        <f t="shared" si="7"/>
        <v>0</v>
      </c>
      <c r="R31" s="50"/>
    </row>
    <row r="32" ht="15.75" customHeight="1">
      <c r="A32" s="16"/>
      <c r="K32" s="51" t="s">
        <v>39</v>
      </c>
      <c r="L32" s="62"/>
      <c r="M32" s="49"/>
      <c r="N32" s="49"/>
      <c r="O32" s="49"/>
      <c r="P32" s="49"/>
      <c r="Q32" s="50"/>
      <c r="R32" s="50">
        <f>SUM(L31:Q31)</f>
        <v>0</v>
      </c>
    </row>
    <row r="33" ht="15.75" customHeight="1">
      <c r="A33" s="16"/>
      <c r="K33" s="60"/>
      <c r="L33" s="63"/>
      <c r="Q33" s="30"/>
      <c r="R33" s="30"/>
    </row>
    <row r="34" ht="15.75" customHeight="1">
      <c r="A34" s="53" t="s">
        <v>42</v>
      </c>
      <c r="L34" s="36"/>
      <c r="M34" s="32"/>
      <c r="N34" s="32"/>
      <c r="O34" s="32"/>
      <c r="P34" s="32"/>
      <c r="Q34" s="37"/>
      <c r="R34" s="30"/>
    </row>
    <row r="35" ht="15.75" customHeight="1">
      <c r="A35" s="54"/>
      <c r="B35" s="45"/>
      <c r="C35" s="44"/>
      <c r="D35" s="45"/>
      <c r="E35" s="45"/>
      <c r="F35" s="45"/>
      <c r="G35" s="45"/>
      <c r="H35" s="44"/>
      <c r="I35" s="55"/>
      <c r="J35" s="44"/>
      <c r="K35" s="56"/>
      <c r="L35" s="57">
        <f t="shared" ref="L35:Q35" si="8">B35*$I35</f>
        <v>0</v>
      </c>
      <c r="M35" s="58">
        <f t="shared" si="8"/>
        <v>0</v>
      </c>
      <c r="N35" s="58">
        <f t="shared" si="8"/>
        <v>0</v>
      </c>
      <c r="O35" s="58">
        <f t="shared" si="8"/>
        <v>0</v>
      </c>
      <c r="P35" s="58">
        <f t="shared" si="8"/>
        <v>0</v>
      </c>
      <c r="Q35" s="59">
        <f t="shared" si="8"/>
        <v>0</v>
      </c>
      <c r="R35" s="30"/>
    </row>
    <row r="36" ht="15.75" customHeight="1">
      <c r="A36" s="54"/>
      <c r="B36" s="44"/>
      <c r="C36" s="44"/>
      <c r="D36" s="44"/>
      <c r="E36" s="44"/>
      <c r="F36" s="44"/>
      <c r="G36" s="44"/>
      <c r="H36" s="44"/>
      <c r="I36" s="55"/>
      <c r="J36" s="44"/>
      <c r="K36" s="56"/>
      <c r="L36" s="60"/>
      <c r="M36" s="60"/>
      <c r="N36" s="60"/>
      <c r="O36" s="60"/>
      <c r="P36" s="60"/>
      <c r="Q36" s="61"/>
      <c r="R36" s="30"/>
    </row>
    <row r="37" ht="15.75" customHeight="1">
      <c r="A37" s="16"/>
      <c r="H37" s="60"/>
      <c r="K37" s="48" t="s">
        <v>38</v>
      </c>
      <c r="L37" s="49">
        <f t="shared" ref="L37:Q37" si="9">SUM(L35:L36)</f>
        <v>0</v>
      </c>
      <c r="M37" s="49">
        <f t="shared" si="9"/>
        <v>0</v>
      </c>
      <c r="N37" s="49">
        <f t="shared" si="9"/>
        <v>0</v>
      </c>
      <c r="O37" s="49">
        <f t="shared" si="9"/>
        <v>0</v>
      </c>
      <c r="P37" s="49">
        <f t="shared" si="9"/>
        <v>0</v>
      </c>
      <c r="Q37" s="50">
        <f t="shared" si="9"/>
        <v>0</v>
      </c>
      <c r="R37" s="50"/>
    </row>
    <row r="38" ht="15.75" customHeight="1">
      <c r="A38" s="16"/>
      <c r="K38" s="49" t="s">
        <v>43</v>
      </c>
      <c r="L38" s="52"/>
      <c r="M38" s="49"/>
      <c r="N38" s="49"/>
      <c r="O38" s="49"/>
      <c r="P38" s="49"/>
      <c r="Q38" s="50"/>
      <c r="R38" s="50">
        <f>SUM(L37:Q37)</f>
        <v>0</v>
      </c>
    </row>
    <row r="39" ht="15.75" customHeight="1">
      <c r="A39" s="53" t="s">
        <v>44</v>
      </c>
      <c r="L39" s="36"/>
      <c r="M39" s="32"/>
      <c r="N39" s="32"/>
      <c r="O39" s="32"/>
      <c r="P39" s="32"/>
      <c r="Q39" s="37"/>
      <c r="R39" s="30"/>
    </row>
    <row r="40" ht="15.75" customHeight="1">
      <c r="A40" s="54"/>
      <c r="B40" s="44"/>
      <c r="C40" s="44"/>
      <c r="D40" s="44"/>
      <c r="E40" s="44"/>
      <c r="F40" s="45"/>
      <c r="G40" s="44"/>
      <c r="H40" s="44"/>
      <c r="I40" s="55"/>
      <c r="J40" s="44"/>
      <c r="K40" s="56"/>
      <c r="L40" s="57">
        <f t="shared" ref="L40:Q40" si="10">B40*$I40</f>
        <v>0</v>
      </c>
      <c r="M40" s="58">
        <f t="shared" si="10"/>
        <v>0</v>
      </c>
      <c r="N40" s="58">
        <f t="shared" si="10"/>
        <v>0</v>
      </c>
      <c r="O40" s="58">
        <f t="shared" si="10"/>
        <v>0</v>
      </c>
      <c r="P40" s="58">
        <f t="shared" si="10"/>
        <v>0</v>
      </c>
      <c r="Q40" s="59">
        <f t="shared" si="10"/>
        <v>0</v>
      </c>
      <c r="R40" s="30"/>
    </row>
    <row r="41" ht="15.75" customHeight="1">
      <c r="A41" s="54"/>
      <c r="B41" s="44"/>
      <c r="C41" s="44"/>
      <c r="D41" s="44"/>
      <c r="E41" s="44"/>
      <c r="F41" s="44"/>
      <c r="G41" s="44"/>
      <c r="H41" s="44"/>
      <c r="I41" s="55"/>
      <c r="J41" s="44"/>
      <c r="K41" s="56"/>
      <c r="L41" s="60"/>
      <c r="M41" s="60"/>
      <c r="N41" s="60"/>
      <c r="O41" s="60"/>
      <c r="P41" s="60"/>
      <c r="Q41" s="61"/>
      <c r="R41" s="30"/>
    </row>
    <row r="42" ht="15.75" customHeight="1">
      <c r="A42" s="16"/>
      <c r="H42" s="60"/>
      <c r="K42" s="48" t="s">
        <v>38</v>
      </c>
      <c r="L42" s="49">
        <f t="shared" ref="L42:Q42" si="11">SUM(L40:L41)</f>
        <v>0</v>
      </c>
      <c r="M42" s="49">
        <f t="shared" si="11"/>
        <v>0</v>
      </c>
      <c r="N42" s="49">
        <f t="shared" si="11"/>
        <v>0</v>
      </c>
      <c r="O42" s="49">
        <f t="shared" si="11"/>
        <v>0</v>
      </c>
      <c r="P42" s="49">
        <f t="shared" si="11"/>
        <v>0</v>
      </c>
      <c r="Q42" s="50">
        <f t="shared" si="11"/>
        <v>0</v>
      </c>
      <c r="R42" s="50"/>
    </row>
    <row r="43" ht="15.75" customHeight="1">
      <c r="A43" s="16"/>
      <c r="K43" s="49" t="s">
        <v>45</v>
      </c>
      <c r="L43" s="62"/>
      <c r="M43" s="49"/>
      <c r="N43" s="49"/>
      <c r="O43" s="49"/>
      <c r="P43" s="49"/>
      <c r="Q43" s="50"/>
      <c r="R43" s="50">
        <f>SUM(L42:Q42)</f>
        <v>0</v>
      </c>
    </row>
    <row r="44" ht="15.75" customHeight="1">
      <c r="A44" s="16"/>
      <c r="L44" s="16"/>
      <c r="Q44" s="30"/>
      <c r="R44" s="30"/>
    </row>
    <row r="45" ht="15.75" customHeight="1">
      <c r="A45" s="16"/>
      <c r="K45" s="64" t="s">
        <v>46</v>
      </c>
      <c r="L45" s="62">
        <f t="shared" ref="L45:Q45" si="12">L20+L25+L31+L37+L42</f>
        <v>2.5</v>
      </c>
      <c r="M45" s="49">
        <f t="shared" si="12"/>
        <v>2.5</v>
      </c>
      <c r="N45" s="49">
        <f t="shared" si="12"/>
        <v>2.5</v>
      </c>
      <c r="O45" s="49">
        <f t="shared" si="12"/>
        <v>2.5</v>
      </c>
      <c r="P45" s="49">
        <f t="shared" si="12"/>
        <v>2.5</v>
      </c>
      <c r="Q45" s="50">
        <f t="shared" si="12"/>
        <v>2.5</v>
      </c>
      <c r="R45" s="50"/>
    </row>
    <row r="46" ht="15.75" customHeight="1">
      <c r="A46" s="63"/>
      <c r="B46" s="65"/>
      <c r="C46" s="65"/>
      <c r="D46" s="65"/>
      <c r="E46" s="65"/>
      <c r="F46" s="65"/>
      <c r="G46" s="65"/>
      <c r="H46" s="65"/>
      <c r="I46" s="65"/>
      <c r="J46" s="65"/>
      <c r="K46" s="66" t="s">
        <v>47</v>
      </c>
      <c r="L46" s="52"/>
      <c r="M46" s="67"/>
      <c r="N46" s="67"/>
      <c r="O46" s="67"/>
      <c r="P46" s="67"/>
      <c r="Q46" s="68"/>
      <c r="R46" s="68">
        <f>SUM(L45:Q45)</f>
        <v>15</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J15:J16"/>
    <mergeCell ref="K15:K16"/>
    <mergeCell ref="H3:J3"/>
    <mergeCell ref="K3:K5"/>
    <mergeCell ref="S3:S11"/>
    <mergeCell ref="A15:A16"/>
    <mergeCell ref="B15:G15"/>
    <mergeCell ref="H15:H16"/>
    <mergeCell ref="I15:I16"/>
    <mergeCell ref="L15:Q15"/>
  </mergeCells>
  <conditionalFormatting sqref="A19">
    <cfRule type="notContainsBlanks" dxfId="0" priority="1">
      <formula>LEN(TRIM(A19))&gt;0</formula>
    </cfRule>
  </conditionalFormatting>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