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og" sheetId="1" r:id="rId4"/>
  </sheets>
  <definedNames/>
  <calcPr/>
  <extLst>
    <ext uri="GoogleSheetsCustomDataVersion2">
      <go:sheetsCustomData xmlns:go="http://customooxmlschemas.google.com/" r:id="rId5" roundtripDataChecksum="JMMBkD1WVQOSHnV4a1ib11STT68TwaT2DYijJSgIV1g="/>
    </ext>
  </extLst>
</workbook>
</file>

<file path=xl/sharedStrings.xml><?xml version="1.0" encoding="utf-8"?>
<sst xmlns="http://schemas.openxmlformats.org/spreadsheetml/2006/main" count="90" uniqueCount="67">
  <si>
    <t>Team Members</t>
  </si>
  <si>
    <r>
      <rPr>
        <rFont val="Calibri"/>
        <b/>
        <color theme="1"/>
        <sz val="11.0"/>
      </rPr>
      <t>Instructions:</t>
    </r>
    <r>
      <rPr>
        <rFont val="Calibri"/>
        <color theme="1"/>
        <sz val="11.0"/>
      </rPr>
      <t xml:space="preserve"> Fill in only the green portions.  For the activities table, put number 1 in the square under each name if that individual participated in that activity. The number of hours for each individual will be calculated automatically. Adjust the cell size to ensure all text is visible as needed. Add more rows as necessary</t>
    </r>
  </si>
  <si>
    <t xml:space="preserve">First Name </t>
  </si>
  <si>
    <t>Last Name</t>
  </si>
  <si>
    <t>Nickname (max 6 characters)</t>
  </si>
  <si>
    <t>Sawaab</t>
  </si>
  <si>
    <t>Anas</t>
  </si>
  <si>
    <t>SA</t>
  </si>
  <si>
    <t>Manahil</t>
  </si>
  <si>
    <t>Bashir</t>
  </si>
  <si>
    <t>MB</t>
  </si>
  <si>
    <t>Mary Joleene</t>
  </si>
  <si>
    <t>Ismael</t>
  </si>
  <si>
    <t>MJI</t>
  </si>
  <si>
    <t>Asmah Yasin</t>
  </si>
  <si>
    <t>Mohamed</t>
  </si>
  <si>
    <t>AYM</t>
  </si>
  <si>
    <t>Muqadas</t>
  </si>
  <si>
    <t>Nazif</t>
  </si>
  <si>
    <t>MN</t>
  </si>
  <si>
    <t>Efetobore</t>
  </si>
  <si>
    <t>Salubi</t>
  </si>
  <si>
    <t>ES</t>
  </si>
  <si>
    <t>Activities Table</t>
  </si>
  <si>
    <t>Date</t>
  </si>
  <si>
    <t>Who</t>
  </si>
  <si>
    <t>Type of Activty</t>
  </si>
  <si>
    <t>Number of hours spent</t>
  </si>
  <si>
    <t xml:space="preserve">Purpose </t>
  </si>
  <si>
    <t>Output</t>
  </si>
  <si>
    <t>Hours spent</t>
  </si>
  <si>
    <t>Milestone 1</t>
  </si>
  <si>
    <t>Meeting</t>
  </si>
  <si>
    <t>Select a project and establish goals</t>
  </si>
  <si>
    <t>Custom project selected, and initial scope outlined</t>
  </si>
  <si>
    <t>Work remotely</t>
  </si>
  <si>
    <t>Completion of project document for submission</t>
  </si>
  <si>
    <t>Submit project milestone</t>
  </si>
  <si>
    <t>Total hours</t>
  </si>
  <si>
    <t>Total team hours</t>
  </si>
  <si>
    <t xml:space="preserve">Milestone 2 </t>
  </si>
  <si>
    <t>Discuss project and divide tasks among group members</t>
  </si>
  <si>
    <t>Roles assigned; timeline agreed</t>
  </si>
  <si>
    <t>Working on assigned tasks remotely</t>
  </si>
  <si>
    <t>Project is ready for submission</t>
  </si>
  <si>
    <t>Sprint 1</t>
  </si>
  <si>
    <t>Sprint planning</t>
  </si>
  <si>
    <t>Plan sprint goals and assign backlog items</t>
  </si>
  <si>
    <t>Coding and development</t>
  </si>
  <si>
    <t>Project environment set up. Initial coding and testing in progress</t>
  </si>
  <si>
    <t>Implementation and testing</t>
  </si>
  <si>
    <t>Sprint Review</t>
  </si>
  <si>
    <t>Reflect and improve team process</t>
  </si>
  <si>
    <t>Submission extended. Restructure GitHub files</t>
  </si>
  <si>
    <t>Submit sprint 1</t>
  </si>
  <si>
    <t>Sprint 2</t>
  </si>
  <si>
    <t>In-person meeting</t>
  </si>
  <si>
    <t>Reflect on previous sprint and assign backlog items</t>
  </si>
  <si>
    <t>Coding and Implementation</t>
  </si>
  <si>
    <t>Work in progress</t>
  </si>
  <si>
    <t>Review and refine code</t>
  </si>
  <si>
    <t>Sprint ready for submission</t>
  </si>
  <si>
    <t>Total Team hours</t>
  </si>
  <si>
    <t>Sprint 3</t>
  </si>
  <si>
    <t>total team hours</t>
  </si>
  <si>
    <t>Total hour over project</t>
  </si>
  <si>
    <t>Total team hours over project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</si>
</sst>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
  </numFmts>
  <fonts count="5">
    <font>
      <sz val="11.0"/>
      <color theme="1"/>
      <name val="Calibri"/>
      <scheme val="minor"/>
    </font>
    <font>
      <sz val="11.0"/>
      <color theme="1"/>
      <name val="Calibri"/>
    </font>
    <font/>
    <font>
      <sz val="11.0"/>
      <color rgb="FF006100"/>
      <name val="Calibri"/>
    </font>
    <font>
      <b/>
      <sz val="11.0"/>
      <color theme="1"/>
      <name val="Calibri"/>
    </font>
  </fonts>
  <fills count="4">
    <fill>
      <patternFill patternType="none"/>
    </fill>
    <fill>
      <patternFill patternType="lightGray"/>
    </fill>
    <fill>
      <patternFill patternType="solid">
        <fgColor rgb="FFC6EFCE"/>
        <bgColor rgb="FFC6EFCE"/>
      </patternFill>
    </fill>
    <fill>
      <patternFill patternType="solid">
        <fgColor rgb="FFD8D8D8"/>
        <bgColor rgb="FFD8D8D8"/>
      </patternFill>
    </fill>
  </fills>
  <borders count="33">
    <border/>
    <border>
      <left style="thin">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n">
        <color rgb="FF000000"/>
      </left>
    </border>
    <border>
      <left style="thin">
        <color rgb="FF000000"/>
      </left>
      <right style="thick">
        <color rgb="FF000000"/>
      </right>
    </border>
    <border>
      <left style="thick">
        <color rgb="FF000000"/>
      </left>
      <right style="thick">
        <color rgb="FF000000"/>
      </right>
    </border>
    <border>
      <left style="thick">
        <color rgb="FF000000"/>
      </left>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top style="thick">
        <color rgb="FF000000"/>
      </top>
      <bottom style="thin">
        <color rgb="FF000000"/>
      </bottom>
    </border>
    <border>
      <left style="thin">
        <color rgb="FF000000"/>
      </left>
      <right/>
      <top/>
      <bottom/>
    </border>
    <border>
      <left/>
      <right/>
      <top/>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top style="thin">
        <color rgb="FF000000"/>
      </top>
    </border>
    <border>
      <top style="thin">
        <color rgb="FF000000"/>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style="thin">
        <color rgb="FF000000"/>
      </right>
      <top/>
      <bottom/>
    </border>
    <border>
      <left style="thin">
        <color rgb="FF000000"/>
      </left>
      <bottom style="thin">
        <color rgb="FF000000"/>
      </bottom>
    </border>
    <border>
      <left/>
      <right/>
      <bottom/>
    </border>
    <border>
      <bottom style="thin">
        <color rgb="FF000000"/>
      </bottom>
    </border>
    <border>
      <left/>
      <right style="thin">
        <color rgb="FF000000"/>
      </right>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0" fontId="1" numFmtId="0" xfId="0" applyAlignment="1" applyBorder="1" applyFont="1">
      <alignment horizontal="center" shrinkToFit="0" vertical="center" wrapText="1"/>
    </xf>
    <xf borderId="0" fillId="0" fontId="1" numFmtId="0" xfId="0" applyAlignment="1" applyFont="1">
      <alignment horizontal="left" shrinkToFit="0" vertical="top" wrapText="1"/>
    </xf>
    <xf borderId="5" fillId="0" fontId="1" numFmtId="0" xfId="0" applyAlignment="1" applyBorder="1" applyFont="1">
      <alignment horizontal="center"/>
    </xf>
    <xf borderId="6" fillId="0" fontId="1" numFmtId="0" xfId="0" applyAlignment="1" applyBorder="1" applyFont="1">
      <alignment horizontal="center"/>
    </xf>
    <xf borderId="7" fillId="0" fontId="1" numFmtId="0" xfId="0" applyAlignment="1" applyBorder="1" applyFont="1">
      <alignment horizontal="center"/>
    </xf>
    <xf borderId="4" fillId="0" fontId="2" numFmtId="0" xfId="0" applyBorder="1" applyFont="1"/>
    <xf borderId="8" fillId="0" fontId="1" numFmtId="0" xfId="0" applyBorder="1" applyFont="1"/>
    <xf borderId="9" fillId="0" fontId="1" numFmtId="0" xfId="0" applyBorder="1" applyFont="1"/>
    <xf borderId="10" fillId="0" fontId="1" numFmtId="0" xfId="0" applyAlignment="1" applyBorder="1" applyFont="1">
      <alignment shrinkToFit="0" wrapText="1"/>
    </xf>
    <xf borderId="11" fillId="2" fontId="3" numFmtId="0" xfId="0" applyBorder="1" applyFill="1" applyFont="1"/>
    <xf borderId="12" fillId="2" fontId="3" numFmtId="0" xfId="0" applyBorder="1" applyFont="1"/>
    <xf borderId="12" fillId="2" fontId="3" numFmtId="0" xfId="0" applyAlignment="1" applyBorder="1" applyFont="1">
      <alignment readingOrder="0"/>
    </xf>
    <xf borderId="4" fillId="0" fontId="1" numFmtId="0" xfId="0" applyBorder="1" applyFont="1"/>
    <xf borderId="13" fillId="2" fontId="3" numFmtId="0" xfId="0" applyBorder="1" applyFont="1"/>
    <xf borderId="14" fillId="2" fontId="3" numFmtId="0" xfId="0" applyBorder="1" applyFont="1"/>
    <xf borderId="14" fillId="2" fontId="3" numFmtId="0" xfId="0" applyAlignment="1" applyBorder="1" applyFont="1">
      <alignment readingOrder="0"/>
    </xf>
    <xf borderId="0" fillId="0" fontId="4" numFmtId="0" xfId="0" applyFont="1"/>
    <xf borderId="15" fillId="0" fontId="1" numFmtId="0" xfId="0" applyAlignment="1" applyBorder="1" applyFont="1">
      <alignment horizontal="center" vertical="top"/>
    </xf>
    <xf borderId="16" fillId="0" fontId="1" numFmtId="0" xfId="0" applyAlignment="1" applyBorder="1" applyFont="1">
      <alignment horizontal="center"/>
    </xf>
    <xf borderId="17" fillId="0" fontId="2" numFmtId="0" xfId="0" applyBorder="1" applyFont="1"/>
    <xf borderId="18" fillId="0" fontId="2" numFmtId="0" xfId="0" applyBorder="1" applyFont="1"/>
    <xf borderId="15" fillId="0" fontId="1" numFmtId="0" xfId="0" applyAlignment="1" applyBorder="1" applyFont="1">
      <alignment horizontal="center" vertical="center"/>
    </xf>
    <xf borderId="15" fillId="0" fontId="1" numFmtId="0" xfId="0" applyAlignment="1" applyBorder="1" applyFont="1">
      <alignment horizontal="center" shrinkToFit="0" vertical="center" wrapText="1"/>
    </xf>
    <xf borderId="19" fillId="0" fontId="1" numFmtId="0" xfId="0" applyBorder="1" applyFont="1"/>
    <xf borderId="20" fillId="0" fontId="2" numFmtId="0" xfId="0" applyBorder="1" applyFont="1"/>
    <xf borderId="21" fillId="0" fontId="1" numFmtId="0" xfId="0" applyAlignment="1" applyBorder="1" applyFont="1">
      <alignment shrinkToFit="0" vertical="top" wrapText="1"/>
    </xf>
    <xf borderId="22" fillId="0" fontId="1" numFmtId="0" xfId="0" applyBorder="1" applyFont="1"/>
    <xf borderId="23" fillId="0" fontId="4" numFmtId="0" xfId="0" applyAlignment="1" applyBorder="1" applyFont="1">
      <alignment horizontal="center" vertical="top"/>
    </xf>
    <xf borderId="24" fillId="0" fontId="1" numFmtId="0" xfId="0" applyAlignment="1" applyBorder="1" applyFont="1">
      <alignment shrinkToFit="0" vertical="top" wrapText="1"/>
    </xf>
    <xf borderId="24" fillId="0" fontId="1" numFmtId="0" xfId="0" applyAlignment="1" applyBorder="1" applyFont="1">
      <alignment horizontal="center" vertical="center"/>
    </xf>
    <xf borderId="24" fillId="0" fontId="1" numFmtId="0" xfId="0" applyAlignment="1" applyBorder="1" applyFont="1">
      <alignment horizontal="center" shrinkToFit="0" vertical="center" wrapText="1"/>
    </xf>
    <xf borderId="19" fillId="0" fontId="1" numFmtId="0" xfId="0" applyAlignment="1" applyBorder="1" applyFont="1">
      <alignment horizontal="center" vertical="center"/>
    </xf>
    <xf borderId="23" fillId="0" fontId="1" numFmtId="0" xfId="0" applyAlignment="1" applyBorder="1" applyFont="1">
      <alignment shrinkToFit="0" vertical="top" wrapText="1"/>
    </xf>
    <xf borderId="19" fillId="0" fontId="1" numFmtId="0" xfId="0" applyAlignment="1" applyBorder="1" applyFont="1">
      <alignment shrinkToFit="0" vertical="top" wrapText="1"/>
    </xf>
    <xf borderId="25" fillId="2" fontId="3" numFmtId="164" xfId="0" applyAlignment="1" applyBorder="1" applyFont="1" applyNumberFormat="1">
      <alignment readingOrder="0" shrinkToFit="0" vertical="top" wrapText="1"/>
    </xf>
    <xf borderId="26" fillId="2" fontId="3" numFmtId="0" xfId="0" applyAlignment="1" applyBorder="1" applyFont="1">
      <alignment shrinkToFit="0" vertical="top" wrapText="1"/>
    </xf>
    <xf borderId="26" fillId="2" fontId="3" numFmtId="0" xfId="0" applyAlignment="1" applyBorder="1" applyFont="1">
      <alignment horizontal="center" shrinkToFit="0" vertical="center" wrapText="1"/>
    </xf>
    <xf borderId="26" fillId="2" fontId="3" numFmtId="0" xfId="0" applyAlignment="1" applyBorder="1" applyFont="1">
      <alignment readingOrder="0" shrinkToFit="0" vertical="top" wrapText="1"/>
    </xf>
    <xf borderId="27" fillId="2" fontId="3" numFmtId="0" xfId="0" applyAlignment="1" applyBorder="1" applyFont="1">
      <alignment readingOrder="0" shrinkToFit="0" vertical="top" wrapText="1"/>
    </xf>
    <xf borderId="11" fillId="2" fontId="3" numFmtId="164" xfId="0" applyAlignment="1" applyBorder="1" applyFont="1" applyNumberFormat="1">
      <alignment readingOrder="0" shrinkToFit="0" vertical="top" wrapText="1"/>
    </xf>
    <xf borderId="12" fillId="2" fontId="3" numFmtId="0" xfId="0" applyAlignment="1" applyBorder="1" applyFont="1">
      <alignment shrinkToFit="0" vertical="top" wrapText="1"/>
    </xf>
    <xf borderId="12" fillId="2" fontId="3" numFmtId="0" xfId="0" applyAlignment="1" applyBorder="1" applyFont="1">
      <alignment readingOrder="0" shrinkToFit="0" vertical="top" wrapText="1"/>
    </xf>
    <xf borderId="12" fillId="2" fontId="3" numFmtId="0" xfId="0" applyAlignment="1" applyBorder="1" applyFont="1">
      <alignment horizontal="center" readingOrder="0" shrinkToFit="0" vertical="center" wrapText="1"/>
    </xf>
    <xf borderId="28" fillId="2" fontId="3" numFmtId="0" xfId="0" applyAlignment="1" applyBorder="1" applyFont="1">
      <alignment readingOrder="0" shrinkToFit="0" vertical="top" wrapText="1"/>
    </xf>
    <xf borderId="28" fillId="3" fontId="4" numFmtId="0" xfId="0" applyAlignment="1" applyBorder="1" applyFill="1" applyFont="1">
      <alignment shrinkToFit="0" vertical="top" wrapText="1"/>
    </xf>
    <xf borderId="12" fillId="3" fontId="4" numFmtId="0" xfId="0" applyBorder="1" applyFont="1"/>
    <xf borderId="28" fillId="3" fontId="4" numFmtId="0" xfId="0" applyBorder="1" applyFont="1"/>
    <xf borderId="12" fillId="3" fontId="4" numFmtId="0" xfId="0" applyAlignment="1" applyBorder="1" applyFont="1">
      <alignment shrinkToFit="0" vertical="top" wrapText="1"/>
    </xf>
    <xf borderId="13" fillId="3" fontId="4" numFmtId="0" xfId="0" applyBorder="1" applyFont="1"/>
    <xf borderId="4" fillId="0" fontId="4" numFmtId="0" xfId="0" applyBorder="1" applyFont="1"/>
    <xf borderId="11" fillId="2" fontId="3" numFmtId="15" xfId="0" applyAlignment="1" applyBorder="1" applyFont="1" applyNumberFormat="1">
      <alignment readingOrder="0" shrinkToFit="0" vertical="top" wrapText="1"/>
    </xf>
    <xf borderId="16" fillId="0" fontId="1" numFmtId="0" xfId="0" applyAlignment="1" applyBorder="1" applyFont="1">
      <alignment shrinkToFit="0" vertical="top" wrapText="1"/>
    </xf>
    <xf borderId="17" fillId="0" fontId="1" numFmtId="0" xfId="0" applyAlignment="1" applyBorder="1" applyFont="1">
      <alignment shrinkToFit="0" vertical="top" wrapText="1"/>
    </xf>
    <xf borderId="18" fillId="0" fontId="1" numFmtId="0" xfId="0" applyAlignment="1" applyBorder="1" applyFont="1">
      <alignment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11" fillId="3" fontId="4" numFmtId="0" xfId="0" applyBorder="1" applyFont="1"/>
    <xf borderId="29" fillId="0" fontId="1" numFmtId="0" xfId="0" applyBorder="1" applyFont="1"/>
    <xf borderId="4" fillId="2" fontId="3" numFmtId="15" xfId="0" applyAlignment="1" applyBorder="1" applyFont="1" applyNumberFormat="1">
      <alignment readingOrder="0" shrinkToFit="0" vertical="top" wrapText="1"/>
    </xf>
    <xf borderId="0" fillId="2" fontId="3" numFmtId="0" xfId="0" applyAlignment="1" applyFont="1">
      <alignment readingOrder="0" shrinkToFit="0" vertical="top" wrapText="1"/>
    </xf>
    <xf borderId="0" fillId="2" fontId="3" numFmtId="0" xfId="0" applyAlignment="1" applyFont="1">
      <alignment horizontal="center" readingOrder="0" shrinkToFit="0" vertical="center" wrapText="1"/>
    </xf>
    <xf borderId="21" fillId="0" fontId="1" numFmtId="0" xfId="0" applyAlignment="1" applyBorder="1" applyFont="1">
      <alignment readingOrder="0" shrinkToFit="0" vertical="top" wrapText="1"/>
    </xf>
    <xf borderId="30" fillId="3" fontId="4" numFmtId="0" xfId="0" applyBorder="1" applyFont="1"/>
    <xf borderId="11" fillId="2" fontId="3" numFmtId="15" xfId="0" applyAlignment="1" applyBorder="1" applyFont="1" applyNumberFormat="1">
      <alignment shrinkToFit="0" vertical="top" wrapText="1"/>
    </xf>
    <xf borderId="12" fillId="2" fontId="3" numFmtId="0" xfId="0" applyAlignment="1" applyBorder="1" applyFont="1">
      <alignment horizontal="center" shrinkToFit="0" vertical="center" wrapText="1"/>
    </xf>
    <xf borderId="28" fillId="2" fontId="3" numFmtId="0" xfId="0" applyAlignment="1" applyBorder="1" applyFont="1">
      <alignment shrinkToFit="0" vertical="top" wrapText="1"/>
    </xf>
    <xf borderId="22" fillId="0" fontId="1" numFmtId="0" xfId="0" applyAlignment="1" applyBorder="1" applyFont="1">
      <alignment shrinkToFit="0" vertical="top" wrapText="1"/>
    </xf>
    <xf borderId="12" fillId="3" fontId="4" numFmtId="0" xfId="0" applyAlignment="1" applyBorder="1" applyFont="1">
      <alignment shrinkToFit="0" wrapText="1"/>
    </xf>
    <xf borderId="31" fillId="0" fontId="1" numFmtId="0" xfId="0" applyBorder="1" applyFont="1"/>
    <xf borderId="14" fillId="3" fontId="4" numFmtId="0" xfId="0" applyAlignment="1" applyBorder="1" applyFont="1">
      <alignment horizontal="right" shrinkToFit="0" wrapText="1"/>
    </xf>
    <xf borderId="14" fillId="3" fontId="4" numFmtId="0" xfId="0" applyBorder="1" applyFont="1"/>
    <xf borderId="32" fillId="3" fontId="4"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3" width="2.14"/>
    <col customWidth="1" min="4" max="4" width="1.71"/>
    <col customWidth="1" min="5" max="7" width="2.14"/>
    <col customWidth="1" min="8" max="8" width="13.43"/>
    <col customWidth="1" min="9" max="9" width="15.29"/>
    <col customWidth="1" min="10" max="10" width="21.86"/>
    <col customWidth="1" min="11" max="11" width="17.71"/>
    <col customWidth="1" min="12" max="18" width="8.86"/>
    <col customWidth="1" min="19" max="19" width="35.71"/>
    <col customWidth="1" min="20" max="26" width="8.86"/>
  </cols>
  <sheetData>
    <row r="3" ht="16.5" customHeight="1">
      <c r="H3" s="1" t="s">
        <v>0</v>
      </c>
      <c r="I3" s="2"/>
      <c r="J3" s="3"/>
      <c r="K3" s="4"/>
      <c r="S3" s="5" t="s">
        <v>1</v>
      </c>
    </row>
    <row r="4">
      <c r="H4" s="6"/>
      <c r="I4" s="7"/>
      <c r="J4" s="8"/>
      <c r="K4" s="9"/>
    </row>
    <row r="5">
      <c r="H5" s="10" t="s">
        <v>2</v>
      </c>
      <c r="I5" s="11" t="s">
        <v>3</v>
      </c>
      <c r="J5" s="12" t="s">
        <v>4</v>
      </c>
      <c r="K5" s="9"/>
    </row>
    <row r="6">
      <c r="H6" s="13" t="s">
        <v>5</v>
      </c>
      <c r="I6" s="14" t="s">
        <v>6</v>
      </c>
      <c r="J6" s="15" t="s">
        <v>7</v>
      </c>
      <c r="K6" s="16"/>
    </row>
    <row r="7">
      <c r="H7" s="13" t="s">
        <v>8</v>
      </c>
      <c r="I7" s="14" t="s">
        <v>9</v>
      </c>
      <c r="J7" s="15" t="s">
        <v>10</v>
      </c>
      <c r="K7" s="16"/>
    </row>
    <row r="8">
      <c r="H8" s="13" t="s">
        <v>11</v>
      </c>
      <c r="I8" s="14" t="s">
        <v>12</v>
      </c>
      <c r="J8" s="14" t="s">
        <v>13</v>
      </c>
      <c r="K8" s="16"/>
    </row>
    <row r="9">
      <c r="H9" s="13" t="s">
        <v>14</v>
      </c>
      <c r="I9" s="14" t="s">
        <v>15</v>
      </c>
      <c r="J9" s="15" t="s">
        <v>16</v>
      </c>
      <c r="K9" s="16"/>
    </row>
    <row r="10">
      <c r="H10" s="13" t="s">
        <v>17</v>
      </c>
      <c r="I10" s="14" t="s">
        <v>18</v>
      </c>
      <c r="J10" s="15" t="s">
        <v>19</v>
      </c>
      <c r="K10" s="16"/>
    </row>
    <row r="11">
      <c r="H11" s="17" t="s">
        <v>20</v>
      </c>
      <c r="I11" s="18" t="s">
        <v>21</v>
      </c>
      <c r="J11" s="19" t="s">
        <v>22</v>
      </c>
      <c r="K11" s="16"/>
    </row>
    <row r="14">
      <c r="A14" s="20" t="s">
        <v>23</v>
      </c>
    </row>
    <row r="15">
      <c r="A15" s="21" t="s">
        <v>24</v>
      </c>
      <c r="B15" s="22" t="s">
        <v>25</v>
      </c>
      <c r="C15" s="23"/>
      <c r="D15" s="23"/>
      <c r="E15" s="23"/>
      <c r="F15" s="23"/>
      <c r="G15" s="24"/>
      <c r="H15" s="25" t="s">
        <v>26</v>
      </c>
      <c r="I15" s="26" t="s">
        <v>27</v>
      </c>
      <c r="J15" s="25" t="s">
        <v>28</v>
      </c>
      <c r="K15" s="25" t="s">
        <v>29</v>
      </c>
      <c r="L15" s="22" t="s">
        <v>30</v>
      </c>
      <c r="M15" s="23"/>
      <c r="N15" s="23"/>
      <c r="O15" s="23"/>
      <c r="P15" s="23"/>
      <c r="Q15" s="24"/>
      <c r="R15" s="27"/>
    </row>
    <row r="16">
      <c r="A16" s="28"/>
      <c r="B16" s="29" t="str">
        <f>$J$6</f>
        <v>SA</v>
      </c>
      <c r="C16" s="29" t="str">
        <f>$J$7</f>
        <v>MB</v>
      </c>
      <c r="D16" s="29" t="str">
        <f>$J$8</f>
        <v>MJI</v>
      </c>
      <c r="E16" s="29" t="str">
        <f>$J$9</f>
        <v>AYM</v>
      </c>
      <c r="F16" s="29" t="str">
        <f>$J$10</f>
        <v>MN</v>
      </c>
      <c r="G16" s="29" t="str">
        <f>$J$11</f>
        <v>ES</v>
      </c>
      <c r="H16" s="28"/>
      <c r="I16" s="28"/>
      <c r="J16" s="28"/>
      <c r="K16" s="28"/>
      <c r="L16" s="29" t="str">
        <f>$J$6</f>
        <v>SA</v>
      </c>
      <c r="M16" s="29" t="str">
        <f>$J$7</f>
        <v>MB</v>
      </c>
      <c r="N16" s="29" t="str">
        <f>$J$8</f>
        <v>MJI</v>
      </c>
      <c r="O16" s="29" t="str">
        <f>$J$9</f>
        <v>AYM</v>
      </c>
      <c r="P16" s="29" t="str">
        <f>$J$10</f>
        <v>MN</v>
      </c>
      <c r="Q16" s="29" t="str">
        <f>$J$11</f>
        <v>ES</v>
      </c>
      <c r="R16" s="30"/>
    </row>
    <row r="17">
      <c r="A17" s="31" t="s">
        <v>31</v>
      </c>
      <c r="B17" s="32"/>
      <c r="C17" s="32"/>
      <c r="D17" s="32"/>
      <c r="E17" s="32"/>
      <c r="F17" s="32"/>
      <c r="G17" s="32"/>
      <c r="H17" s="33"/>
      <c r="I17" s="34"/>
      <c r="J17" s="33"/>
      <c r="K17" s="35"/>
      <c r="L17" s="36"/>
      <c r="M17" s="32"/>
      <c r="N17" s="32"/>
      <c r="O17" s="32"/>
      <c r="P17" s="32"/>
      <c r="Q17" s="37"/>
      <c r="R17" s="30"/>
    </row>
    <row r="18" ht="54.0" customHeight="1">
      <c r="A18" s="38">
        <v>45923.0</v>
      </c>
      <c r="B18" s="39">
        <v>1.0</v>
      </c>
      <c r="C18" s="39">
        <v>1.0</v>
      </c>
      <c r="D18" s="39">
        <v>1.0</v>
      </c>
      <c r="E18" s="39">
        <v>1.0</v>
      </c>
      <c r="F18" s="39">
        <v>1.0</v>
      </c>
      <c r="G18" s="39">
        <v>1.0</v>
      </c>
      <c r="H18" s="39" t="s">
        <v>32</v>
      </c>
      <c r="I18" s="40">
        <v>1.5</v>
      </c>
      <c r="J18" s="41" t="s">
        <v>33</v>
      </c>
      <c r="K18" s="42" t="s">
        <v>34</v>
      </c>
      <c r="L18" s="36">
        <f t="shared" ref="L18:Q18" si="1">B18*$I18</f>
        <v>1.5</v>
      </c>
      <c r="M18" s="32">
        <f t="shared" si="1"/>
        <v>1.5</v>
      </c>
      <c r="N18" s="32">
        <f t="shared" si="1"/>
        <v>1.5</v>
      </c>
      <c r="O18" s="32">
        <f t="shared" si="1"/>
        <v>1.5</v>
      </c>
      <c r="P18" s="32">
        <f t="shared" si="1"/>
        <v>1.5</v>
      </c>
      <c r="Q18" s="37">
        <f t="shared" si="1"/>
        <v>1.5</v>
      </c>
      <c r="R18" s="30"/>
    </row>
    <row r="19" ht="58.5" customHeight="1">
      <c r="A19" s="43">
        <v>45926.0</v>
      </c>
      <c r="B19" s="44">
        <v>1.0</v>
      </c>
      <c r="C19" s="44">
        <v>1.0</v>
      </c>
      <c r="D19" s="44">
        <v>1.0</v>
      </c>
      <c r="E19" s="44">
        <v>1.0</v>
      </c>
      <c r="F19" s="44">
        <v>1.0</v>
      </c>
      <c r="G19" s="44">
        <v>1.0</v>
      </c>
      <c r="H19" s="45" t="s">
        <v>35</v>
      </c>
      <c r="I19" s="46">
        <v>1.0</v>
      </c>
      <c r="J19" s="45" t="s">
        <v>36</v>
      </c>
      <c r="K19" s="47" t="s">
        <v>37</v>
      </c>
      <c r="L19" s="36">
        <f t="shared" ref="L19:Q19" si="2">B19*$I19</f>
        <v>1</v>
      </c>
      <c r="M19" s="32">
        <f t="shared" si="2"/>
        <v>1</v>
      </c>
      <c r="N19" s="32">
        <f t="shared" si="2"/>
        <v>1</v>
      </c>
      <c r="O19" s="32">
        <f t="shared" si="2"/>
        <v>1</v>
      </c>
      <c r="P19" s="32">
        <f t="shared" si="2"/>
        <v>1</v>
      </c>
      <c r="Q19" s="37">
        <f t="shared" si="2"/>
        <v>1</v>
      </c>
      <c r="R19" s="30"/>
    </row>
    <row r="20" ht="18.0" customHeight="1">
      <c r="A20" s="16"/>
      <c r="K20" s="48" t="s">
        <v>38</v>
      </c>
      <c r="L20" s="49">
        <f t="shared" ref="L20:Q20" si="3">SUM(L13:L19)</f>
        <v>2.5</v>
      </c>
      <c r="M20" s="49">
        <f t="shared" si="3"/>
        <v>2.5</v>
      </c>
      <c r="N20" s="49">
        <f t="shared" si="3"/>
        <v>2.5</v>
      </c>
      <c r="O20" s="49">
        <f t="shared" si="3"/>
        <v>2.5</v>
      </c>
      <c r="P20" s="49">
        <f t="shared" si="3"/>
        <v>2.5</v>
      </c>
      <c r="Q20" s="50">
        <f t="shared" si="3"/>
        <v>2.5</v>
      </c>
      <c r="R20" s="50"/>
    </row>
    <row r="21" ht="16.5" customHeight="1">
      <c r="A21" s="16"/>
      <c r="K21" s="51" t="s">
        <v>39</v>
      </c>
      <c r="L21" s="52"/>
      <c r="M21" s="49"/>
      <c r="N21" s="49"/>
      <c r="O21" s="49"/>
      <c r="P21" s="49"/>
      <c r="Q21" s="50"/>
      <c r="R21" s="50">
        <f>SUM(L20:Q20)</f>
        <v>15</v>
      </c>
    </row>
    <row r="22" ht="19.5" customHeight="1">
      <c r="A22" s="53" t="s">
        <v>40</v>
      </c>
      <c r="L22" s="36"/>
      <c r="M22" s="32"/>
      <c r="N22" s="32"/>
      <c r="O22" s="32"/>
      <c r="P22" s="32"/>
      <c r="Q22" s="37"/>
      <c r="R22" s="30"/>
    </row>
    <row r="23" ht="51.0" customHeight="1">
      <c r="A23" s="54">
        <v>45938.0</v>
      </c>
      <c r="B23" s="45">
        <v>1.0</v>
      </c>
      <c r="C23" s="45">
        <v>1.0</v>
      </c>
      <c r="D23" s="45">
        <v>1.0</v>
      </c>
      <c r="E23" s="45">
        <v>1.0</v>
      </c>
      <c r="F23" s="45">
        <v>1.0</v>
      </c>
      <c r="G23" s="45">
        <v>1.0</v>
      </c>
      <c r="H23" s="45" t="s">
        <v>32</v>
      </c>
      <c r="I23" s="46">
        <v>1.0</v>
      </c>
      <c r="J23" s="45" t="s">
        <v>41</v>
      </c>
      <c r="K23" s="47" t="s">
        <v>42</v>
      </c>
      <c r="L23" s="55">
        <f t="shared" ref="L23:Q23" si="4">B23*$I23</f>
        <v>1</v>
      </c>
      <c r="M23" s="56">
        <f t="shared" si="4"/>
        <v>1</v>
      </c>
      <c r="N23" s="56">
        <f t="shared" si="4"/>
        <v>1</v>
      </c>
      <c r="O23" s="56">
        <f t="shared" si="4"/>
        <v>1</v>
      </c>
      <c r="P23" s="56">
        <f t="shared" si="4"/>
        <v>1</v>
      </c>
      <c r="Q23" s="57">
        <f t="shared" si="4"/>
        <v>1</v>
      </c>
      <c r="R23" s="30"/>
    </row>
    <row r="24" ht="51.0" customHeight="1">
      <c r="A24" s="54">
        <v>45940.0</v>
      </c>
      <c r="B24" s="45">
        <v>1.0</v>
      </c>
      <c r="C24" s="45">
        <v>1.0</v>
      </c>
      <c r="D24" s="45">
        <v>1.0</v>
      </c>
      <c r="E24" s="45">
        <v>1.0</v>
      </c>
      <c r="F24" s="45">
        <v>1.0</v>
      </c>
      <c r="G24" s="45">
        <v>1.0</v>
      </c>
      <c r="H24" s="45" t="s">
        <v>35</v>
      </c>
      <c r="I24" s="46">
        <v>1.0</v>
      </c>
      <c r="J24" s="45" t="s">
        <v>43</v>
      </c>
      <c r="K24" s="47" t="s">
        <v>44</v>
      </c>
      <c r="L24" s="58">
        <f t="shared" ref="L24:Q24" si="5">B24*$I24</f>
        <v>1</v>
      </c>
      <c r="M24" s="58">
        <f t="shared" si="5"/>
        <v>1</v>
      </c>
      <c r="N24" s="58">
        <f t="shared" si="5"/>
        <v>1</v>
      </c>
      <c r="O24" s="58">
        <f t="shared" si="5"/>
        <v>1</v>
      </c>
      <c r="P24" s="58">
        <f t="shared" si="5"/>
        <v>1</v>
      </c>
      <c r="Q24" s="58">
        <f t="shared" si="5"/>
        <v>1</v>
      </c>
      <c r="R24" s="30"/>
    </row>
    <row r="25" ht="15.75" customHeight="1">
      <c r="A25" s="16"/>
      <c r="H25" s="59"/>
      <c r="K25" s="48" t="s">
        <v>38</v>
      </c>
      <c r="L25" s="49">
        <f t="shared" ref="L25:Q25" si="6">SUM(L23:L24)</f>
        <v>2</v>
      </c>
      <c r="M25" s="49">
        <f t="shared" si="6"/>
        <v>2</v>
      </c>
      <c r="N25" s="49">
        <f t="shared" si="6"/>
        <v>2</v>
      </c>
      <c r="O25" s="49">
        <f t="shared" si="6"/>
        <v>2</v>
      </c>
      <c r="P25" s="49">
        <f t="shared" si="6"/>
        <v>2</v>
      </c>
      <c r="Q25" s="50">
        <f t="shared" si="6"/>
        <v>2</v>
      </c>
      <c r="R25" s="50"/>
    </row>
    <row r="26" ht="15.75" customHeight="1">
      <c r="A26" s="16"/>
      <c r="K26" s="51" t="s">
        <v>39</v>
      </c>
      <c r="L26" s="60"/>
      <c r="M26" s="49"/>
      <c r="N26" s="49"/>
      <c r="O26" s="49"/>
      <c r="P26" s="49"/>
      <c r="Q26" s="50"/>
      <c r="R26" s="50">
        <f>SUM(L25:Q25)</f>
        <v>12</v>
      </c>
    </row>
    <row r="27" ht="15.75" customHeight="1">
      <c r="A27" s="16"/>
      <c r="L27" s="61"/>
      <c r="Q27" s="30"/>
      <c r="R27" s="30"/>
    </row>
    <row r="28" ht="15.75" customHeight="1">
      <c r="A28" s="53" t="s">
        <v>45</v>
      </c>
      <c r="L28" s="36"/>
      <c r="M28" s="32"/>
      <c r="N28" s="32"/>
      <c r="O28" s="32"/>
      <c r="P28" s="32"/>
      <c r="Q28" s="37"/>
      <c r="R28" s="30"/>
    </row>
    <row r="29" ht="15.75" customHeight="1">
      <c r="A29" s="62">
        <v>45953.0</v>
      </c>
      <c r="B29" s="63">
        <v>1.0</v>
      </c>
      <c r="C29" s="63">
        <v>1.0</v>
      </c>
      <c r="D29" s="63">
        <v>1.0</v>
      </c>
      <c r="E29" s="63">
        <v>1.0</v>
      </c>
      <c r="F29" s="63">
        <v>1.0</v>
      </c>
      <c r="G29" s="63">
        <v>1.0</v>
      </c>
      <c r="H29" s="63" t="s">
        <v>32</v>
      </c>
      <c r="I29" s="64">
        <v>3.0</v>
      </c>
      <c r="J29" s="63" t="s">
        <v>46</v>
      </c>
      <c r="K29" s="63" t="s">
        <v>47</v>
      </c>
      <c r="L29" s="36">
        <f t="shared" ref="L29:L34" si="7">B29*I29</f>
        <v>3</v>
      </c>
      <c r="M29" s="36">
        <f t="shared" ref="M29:M34" si="8">C29*I29</f>
        <v>3</v>
      </c>
      <c r="N29" s="36">
        <f t="shared" ref="N29:N34" si="9">D29*I29</f>
        <v>3</v>
      </c>
      <c r="O29" s="36">
        <f t="shared" ref="O29:O34" si="10">E29*I29</f>
        <v>3</v>
      </c>
      <c r="P29" s="36">
        <f t="shared" ref="P29:P34" si="11">F29*I29</f>
        <v>3</v>
      </c>
      <c r="Q29" s="36">
        <f t="shared" ref="Q29:Q34" si="12">G29*I29</f>
        <v>3</v>
      </c>
      <c r="R29" s="30"/>
    </row>
    <row r="30" ht="15.75" customHeight="1">
      <c r="A30" s="54">
        <v>45954.0</v>
      </c>
      <c r="B30" s="45">
        <v>1.0</v>
      </c>
      <c r="C30" s="45">
        <v>1.0</v>
      </c>
      <c r="D30" s="45">
        <v>1.0</v>
      </c>
      <c r="E30" s="45">
        <v>1.0</v>
      </c>
      <c r="F30" s="45">
        <v>1.0</v>
      </c>
      <c r="G30" s="45">
        <v>1.0</v>
      </c>
      <c r="H30" s="45" t="s">
        <v>35</v>
      </c>
      <c r="I30" s="46">
        <v>2.5</v>
      </c>
      <c r="J30" s="45" t="s">
        <v>48</v>
      </c>
      <c r="K30" s="47" t="s">
        <v>49</v>
      </c>
      <c r="L30" s="36">
        <f t="shared" si="7"/>
        <v>2.5</v>
      </c>
      <c r="M30" s="36">
        <f t="shared" si="8"/>
        <v>2.5</v>
      </c>
      <c r="N30" s="36">
        <f t="shared" si="9"/>
        <v>2.5</v>
      </c>
      <c r="O30" s="36">
        <f t="shared" si="10"/>
        <v>2.5</v>
      </c>
      <c r="P30" s="36">
        <f t="shared" si="11"/>
        <v>2.5</v>
      </c>
      <c r="Q30" s="36">
        <f t="shared" si="12"/>
        <v>2.5</v>
      </c>
      <c r="R30" s="30"/>
    </row>
    <row r="31" ht="15.75" customHeight="1">
      <c r="A31" s="54">
        <v>45955.0</v>
      </c>
      <c r="B31" s="45">
        <v>1.0</v>
      </c>
      <c r="C31" s="45">
        <v>1.0</v>
      </c>
      <c r="D31" s="45">
        <v>1.0</v>
      </c>
      <c r="E31" s="45">
        <v>1.0</v>
      </c>
      <c r="F31" s="45">
        <v>1.0</v>
      </c>
      <c r="G31" s="45">
        <v>1.0</v>
      </c>
      <c r="H31" s="45" t="s">
        <v>35</v>
      </c>
      <c r="I31" s="46">
        <v>3.5</v>
      </c>
      <c r="J31" s="45" t="s">
        <v>48</v>
      </c>
      <c r="K31" s="47" t="s">
        <v>50</v>
      </c>
      <c r="L31" s="36">
        <f t="shared" si="7"/>
        <v>3.5</v>
      </c>
      <c r="M31" s="36">
        <f t="shared" si="8"/>
        <v>3.5</v>
      </c>
      <c r="N31" s="36">
        <f t="shared" si="9"/>
        <v>3.5</v>
      </c>
      <c r="O31" s="36">
        <f t="shared" si="10"/>
        <v>3.5</v>
      </c>
      <c r="P31" s="36">
        <f t="shared" si="11"/>
        <v>3.5</v>
      </c>
      <c r="Q31" s="36">
        <f t="shared" si="12"/>
        <v>3.5</v>
      </c>
      <c r="R31" s="30"/>
    </row>
    <row r="32" ht="15.75" customHeight="1">
      <c r="A32" s="62">
        <v>45956.0</v>
      </c>
      <c r="B32" s="63">
        <v>1.0</v>
      </c>
      <c r="C32" s="63">
        <v>1.0</v>
      </c>
      <c r="D32" s="63">
        <v>1.0</v>
      </c>
      <c r="E32" s="63">
        <v>1.0</v>
      </c>
      <c r="F32" s="63">
        <v>1.0</v>
      </c>
      <c r="G32" s="63">
        <v>1.0</v>
      </c>
      <c r="H32" s="63" t="s">
        <v>35</v>
      </c>
      <c r="I32" s="64">
        <v>2.0</v>
      </c>
      <c r="J32" s="63" t="s">
        <v>48</v>
      </c>
      <c r="K32" s="47" t="s">
        <v>50</v>
      </c>
      <c r="L32" s="36">
        <f t="shared" si="7"/>
        <v>2</v>
      </c>
      <c r="M32" s="36">
        <f t="shared" si="8"/>
        <v>2</v>
      </c>
      <c r="N32" s="36">
        <f t="shared" si="9"/>
        <v>2</v>
      </c>
      <c r="O32" s="36">
        <f t="shared" si="10"/>
        <v>2</v>
      </c>
      <c r="P32" s="36">
        <f t="shared" si="11"/>
        <v>2</v>
      </c>
      <c r="Q32" s="36">
        <f t="shared" si="12"/>
        <v>2</v>
      </c>
      <c r="R32" s="30"/>
    </row>
    <row r="33" ht="15.75" customHeight="1">
      <c r="A33" s="62">
        <v>45957.0</v>
      </c>
      <c r="B33" s="63">
        <v>1.0</v>
      </c>
      <c r="C33" s="63">
        <v>1.0</v>
      </c>
      <c r="D33" s="63">
        <v>1.0</v>
      </c>
      <c r="E33" s="63">
        <v>1.0</v>
      </c>
      <c r="F33" s="63">
        <v>1.0</v>
      </c>
      <c r="G33" s="63">
        <v>1.0</v>
      </c>
      <c r="H33" s="63" t="s">
        <v>32</v>
      </c>
      <c r="I33" s="64">
        <v>2.5</v>
      </c>
      <c r="J33" s="63" t="s">
        <v>51</v>
      </c>
      <c r="K33" s="47" t="s">
        <v>52</v>
      </c>
      <c r="L33" s="36">
        <f t="shared" si="7"/>
        <v>2.5</v>
      </c>
      <c r="M33" s="36">
        <f t="shared" si="8"/>
        <v>2.5</v>
      </c>
      <c r="N33" s="36">
        <f t="shared" si="9"/>
        <v>2.5</v>
      </c>
      <c r="O33" s="36">
        <f t="shared" si="10"/>
        <v>2.5</v>
      </c>
      <c r="P33" s="36">
        <f t="shared" si="11"/>
        <v>2.5</v>
      </c>
      <c r="Q33" s="36">
        <f t="shared" si="12"/>
        <v>2.5</v>
      </c>
      <c r="R33" s="30"/>
    </row>
    <row r="34" ht="15.75" customHeight="1">
      <c r="A34" s="62">
        <v>45958.0</v>
      </c>
      <c r="B34" s="63">
        <v>1.0</v>
      </c>
      <c r="C34" s="63">
        <v>1.0</v>
      </c>
      <c r="D34" s="63">
        <v>1.0</v>
      </c>
      <c r="E34" s="63">
        <v>1.0</v>
      </c>
      <c r="F34" s="63">
        <v>1.0</v>
      </c>
      <c r="G34" s="63">
        <v>1.0</v>
      </c>
      <c r="H34" s="63" t="s">
        <v>35</v>
      </c>
      <c r="I34" s="64">
        <v>1.5</v>
      </c>
      <c r="J34" s="63" t="s">
        <v>53</v>
      </c>
      <c r="K34" s="47" t="s">
        <v>54</v>
      </c>
      <c r="L34" s="59">
        <f t="shared" si="7"/>
        <v>1.5</v>
      </c>
      <c r="M34" s="59">
        <f t="shared" si="8"/>
        <v>1.5</v>
      </c>
      <c r="N34" s="59">
        <f t="shared" si="9"/>
        <v>1.5</v>
      </c>
      <c r="O34" s="59">
        <f t="shared" si="10"/>
        <v>1.5</v>
      </c>
      <c r="P34" s="59">
        <f t="shared" si="11"/>
        <v>1.5</v>
      </c>
      <c r="Q34" s="59">
        <f t="shared" si="12"/>
        <v>1.5</v>
      </c>
      <c r="R34" s="30"/>
    </row>
    <row r="35" ht="15.75" customHeight="1">
      <c r="A35" s="16"/>
      <c r="H35" s="59"/>
      <c r="K35" s="48" t="s">
        <v>38</v>
      </c>
      <c r="L35" s="49">
        <f t="shared" ref="L35:Q35" si="13">SUM(L29:L34)</f>
        <v>15</v>
      </c>
      <c r="M35" s="49">
        <f t="shared" si="13"/>
        <v>15</v>
      </c>
      <c r="N35" s="49">
        <f t="shared" si="13"/>
        <v>15</v>
      </c>
      <c r="O35" s="49">
        <f t="shared" si="13"/>
        <v>15</v>
      </c>
      <c r="P35" s="49">
        <f t="shared" si="13"/>
        <v>15</v>
      </c>
      <c r="Q35" s="49">
        <f t="shared" si="13"/>
        <v>15</v>
      </c>
      <c r="R35" s="50"/>
    </row>
    <row r="36" ht="15.75" customHeight="1">
      <c r="A36" s="16"/>
      <c r="K36" s="51" t="s">
        <v>39</v>
      </c>
      <c r="L36" s="60"/>
      <c r="M36" s="49"/>
      <c r="N36" s="49"/>
      <c r="O36" s="49"/>
      <c r="P36" s="49"/>
      <c r="Q36" s="50"/>
      <c r="R36" s="50">
        <f>SUM(L35:Q35)</f>
        <v>90</v>
      </c>
    </row>
    <row r="37" ht="15.75" customHeight="1">
      <c r="A37" s="16"/>
      <c r="K37" s="59"/>
      <c r="L37" s="61"/>
      <c r="Q37" s="30"/>
      <c r="R37" s="30"/>
    </row>
    <row r="38" ht="15.75" customHeight="1">
      <c r="A38" s="53" t="s">
        <v>55</v>
      </c>
      <c r="L38" s="36"/>
      <c r="M38" s="32"/>
      <c r="N38" s="32"/>
      <c r="O38" s="32"/>
      <c r="P38" s="32"/>
      <c r="Q38" s="37"/>
      <c r="R38" s="30"/>
    </row>
    <row r="39" ht="15.75" customHeight="1">
      <c r="A39" s="54">
        <v>45965.0</v>
      </c>
      <c r="B39" s="45">
        <v>1.0</v>
      </c>
      <c r="C39" s="45">
        <v>1.0</v>
      </c>
      <c r="D39" s="45">
        <v>1.0</v>
      </c>
      <c r="E39" s="45">
        <v>1.0</v>
      </c>
      <c r="F39" s="45">
        <v>1.0</v>
      </c>
      <c r="G39" s="45">
        <v>1.0</v>
      </c>
      <c r="H39" s="45" t="s">
        <v>56</v>
      </c>
      <c r="I39" s="46">
        <v>2.0</v>
      </c>
      <c r="J39" s="45" t="s">
        <v>46</v>
      </c>
      <c r="K39" s="47" t="s">
        <v>57</v>
      </c>
      <c r="L39" s="29">
        <f t="shared" ref="L39:M39" si="14">B39*$I39</f>
        <v>2</v>
      </c>
      <c r="M39" s="29">
        <f t="shared" si="14"/>
        <v>2</v>
      </c>
      <c r="N39" s="65">
        <v>1.0</v>
      </c>
      <c r="O39" s="29">
        <f>E39*$I39</f>
        <v>2</v>
      </c>
      <c r="P39" s="65">
        <v>4.0</v>
      </c>
      <c r="Q39" s="29">
        <f>G39*$I39</f>
        <v>2</v>
      </c>
      <c r="R39" s="30"/>
    </row>
    <row r="40" ht="15.75" customHeight="1">
      <c r="A40" s="54">
        <v>45967.0</v>
      </c>
      <c r="B40" s="45">
        <v>1.0</v>
      </c>
      <c r="C40" s="45">
        <v>1.0</v>
      </c>
      <c r="D40" s="45">
        <v>1.0</v>
      </c>
      <c r="E40" s="45">
        <v>1.0</v>
      </c>
      <c r="F40" s="45">
        <v>1.0</v>
      </c>
      <c r="G40" s="45">
        <v>1.0</v>
      </c>
      <c r="H40" s="45" t="s">
        <v>56</v>
      </c>
      <c r="I40" s="46">
        <v>3.0</v>
      </c>
      <c r="J40" s="45" t="s">
        <v>58</v>
      </c>
      <c r="K40" s="47" t="s">
        <v>59</v>
      </c>
      <c r="L40" s="29">
        <f t="shared" ref="L40:N40" si="15">B40*$I40</f>
        <v>3</v>
      </c>
      <c r="M40" s="29">
        <f t="shared" si="15"/>
        <v>3</v>
      </c>
      <c r="N40" s="29">
        <f t="shared" si="15"/>
        <v>3</v>
      </c>
      <c r="O40" s="65">
        <v>2.0</v>
      </c>
      <c r="P40" s="65">
        <v>3.0</v>
      </c>
      <c r="Q40" s="65">
        <v>3.0</v>
      </c>
      <c r="R40" s="30"/>
    </row>
    <row r="41" ht="15.75" customHeight="1">
      <c r="A41" s="62">
        <v>45969.0</v>
      </c>
      <c r="B41" s="63">
        <v>1.0</v>
      </c>
      <c r="C41" s="63">
        <v>1.0</v>
      </c>
      <c r="D41" s="63">
        <v>1.0</v>
      </c>
      <c r="E41" s="63">
        <v>1.0</v>
      </c>
      <c r="F41" s="63">
        <v>1.0</v>
      </c>
      <c r="G41" s="63">
        <v>1.0</v>
      </c>
      <c r="H41" s="63" t="s">
        <v>35</v>
      </c>
      <c r="I41" s="64">
        <v>5.0</v>
      </c>
      <c r="J41" s="63" t="s">
        <v>58</v>
      </c>
      <c r="K41" s="47" t="s">
        <v>59</v>
      </c>
      <c r="L41" s="65">
        <v>8.0</v>
      </c>
      <c r="M41" s="65">
        <v>3.0</v>
      </c>
      <c r="N41" s="29">
        <f>D41*$I41</f>
        <v>5</v>
      </c>
      <c r="O41" s="65">
        <v>6.0</v>
      </c>
      <c r="P41" s="29">
        <f>F41*$I41</f>
        <v>5</v>
      </c>
      <c r="Q41" s="65">
        <v>5.0</v>
      </c>
      <c r="R41" s="30"/>
    </row>
    <row r="42" ht="15.75" customHeight="1">
      <c r="A42" s="62">
        <v>45970.0</v>
      </c>
      <c r="B42" s="63">
        <v>1.0</v>
      </c>
      <c r="C42" s="63">
        <v>1.0</v>
      </c>
      <c r="D42" s="63">
        <v>1.0</v>
      </c>
      <c r="E42" s="63">
        <v>1.0</v>
      </c>
      <c r="F42" s="63">
        <v>1.0</v>
      </c>
      <c r="G42" s="63">
        <v>1.0</v>
      </c>
      <c r="H42" s="63" t="s">
        <v>35</v>
      </c>
      <c r="I42" s="64">
        <v>5.0</v>
      </c>
      <c r="J42" s="63" t="s">
        <v>60</v>
      </c>
      <c r="K42" s="47" t="s">
        <v>61</v>
      </c>
      <c r="L42" s="29">
        <f t="shared" ref="L42:Q42" si="16">B42*$I42</f>
        <v>5</v>
      </c>
      <c r="M42" s="29">
        <f t="shared" si="16"/>
        <v>5</v>
      </c>
      <c r="N42" s="29">
        <f t="shared" si="16"/>
        <v>5</v>
      </c>
      <c r="O42" s="29">
        <f t="shared" si="16"/>
        <v>5</v>
      </c>
      <c r="P42" s="29">
        <f t="shared" si="16"/>
        <v>5</v>
      </c>
      <c r="Q42" s="29">
        <f t="shared" si="16"/>
        <v>5</v>
      </c>
      <c r="R42" s="30"/>
    </row>
    <row r="43" ht="15.75" customHeight="1">
      <c r="A43" s="16"/>
      <c r="H43" s="59"/>
      <c r="K43" s="48" t="s">
        <v>38</v>
      </c>
      <c r="L43" s="66">
        <f t="shared" ref="L43:Q43" si="17">SUM(L39:L42)</f>
        <v>18</v>
      </c>
      <c r="M43" s="66">
        <f t="shared" si="17"/>
        <v>13</v>
      </c>
      <c r="N43" s="66">
        <f t="shared" si="17"/>
        <v>14</v>
      </c>
      <c r="O43" s="66">
        <f t="shared" si="17"/>
        <v>15</v>
      </c>
      <c r="P43" s="66">
        <f t="shared" si="17"/>
        <v>17</v>
      </c>
      <c r="Q43" s="66">
        <f t="shared" si="17"/>
        <v>15</v>
      </c>
      <c r="R43" s="50"/>
    </row>
    <row r="44" ht="15.75" customHeight="1">
      <c r="A44" s="16"/>
      <c r="K44" s="49" t="s">
        <v>62</v>
      </c>
      <c r="L44" s="52"/>
      <c r="M44" s="49"/>
      <c r="N44" s="49"/>
      <c r="O44" s="49"/>
      <c r="P44" s="49"/>
      <c r="Q44" s="50"/>
      <c r="R44" s="50">
        <f>SUM(L43:Q43)</f>
        <v>92</v>
      </c>
    </row>
    <row r="45" ht="15.75" customHeight="1">
      <c r="A45" s="53" t="s">
        <v>63</v>
      </c>
      <c r="L45" s="36"/>
      <c r="M45" s="32"/>
      <c r="N45" s="32"/>
      <c r="O45" s="32"/>
      <c r="P45" s="32"/>
      <c r="Q45" s="37"/>
      <c r="R45" s="30"/>
    </row>
    <row r="46" ht="15.75" customHeight="1">
      <c r="A46" s="67"/>
      <c r="B46" s="44"/>
      <c r="C46" s="44"/>
      <c r="D46" s="44"/>
      <c r="E46" s="44"/>
      <c r="F46" s="45"/>
      <c r="G46" s="44"/>
      <c r="H46" s="44"/>
      <c r="I46" s="68"/>
      <c r="J46" s="44"/>
      <c r="K46" s="69"/>
      <c r="L46" s="55">
        <f t="shared" ref="L46:Q46" si="18">B46*$I46</f>
        <v>0</v>
      </c>
      <c r="M46" s="56">
        <f t="shared" si="18"/>
        <v>0</v>
      </c>
      <c r="N46" s="56">
        <f t="shared" si="18"/>
        <v>0</v>
      </c>
      <c r="O46" s="56">
        <f t="shared" si="18"/>
        <v>0</v>
      </c>
      <c r="P46" s="56">
        <f t="shared" si="18"/>
        <v>0</v>
      </c>
      <c r="Q46" s="57">
        <f t="shared" si="18"/>
        <v>0</v>
      </c>
      <c r="R46" s="30"/>
    </row>
    <row r="47" ht="15.75" customHeight="1">
      <c r="A47" s="67"/>
      <c r="B47" s="44"/>
      <c r="C47" s="44"/>
      <c r="D47" s="44"/>
      <c r="E47" s="44"/>
      <c r="F47" s="44"/>
      <c r="G47" s="44"/>
      <c r="H47" s="44"/>
      <c r="I47" s="68"/>
      <c r="J47" s="44"/>
      <c r="K47" s="69"/>
      <c r="L47" s="59"/>
      <c r="M47" s="59"/>
      <c r="N47" s="59"/>
      <c r="O47" s="59"/>
      <c r="P47" s="59"/>
      <c r="Q47" s="70"/>
      <c r="R47" s="30"/>
    </row>
    <row r="48" ht="15.75" customHeight="1">
      <c r="A48" s="16"/>
      <c r="H48" s="59"/>
      <c r="K48" s="48" t="s">
        <v>38</v>
      </c>
      <c r="L48" s="49">
        <f t="shared" ref="L48:Q48" si="19">SUM(L46:L47)</f>
        <v>0</v>
      </c>
      <c r="M48" s="49">
        <f t="shared" si="19"/>
        <v>0</v>
      </c>
      <c r="N48" s="49">
        <f t="shared" si="19"/>
        <v>0</v>
      </c>
      <c r="O48" s="49">
        <f t="shared" si="19"/>
        <v>0</v>
      </c>
      <c r="P48" s="49">
        <f t="shared" si="19"/>
        <v>0</v>
      </c>
      <c r="Q48" s="50">
        <f t="shared" si="19"/>
        <v>0</v>
      </c>
      <c r="R48" s="50"/>
    </row>
    <row r="49" ht="15.75" customHeight="1">
      <c r="A49" s="16"/>
      <c r="K49" s="49" t="s">
        <v>64</v>
      </c>
      <c r="L49" s="60"/>
      <c r="M49" s="49"/>
      <c r="N49" s="49"/>
      <c r="O49" s="49"/>
      <c r="P49" s="49"/>
      <c r="Q49" s="50"/>
      <c r="R49" s="50">
        <f>SUM(L48:Q48)</f>
        <v>0</v>
      </c>
    </row>
    <row r="50" ht="15.75" customHeight="1">
      <c r="A50" s="16"/>
      <c r="L50" s="16"/>
      <c r="Q50" s="30"/>
      <c r="R50" s="30"/>
    </row>
    <row r="51" ht="15.75" customHeight="1">
      <c r="A51" s="16"/>
      <c r="K51" s="71" t="s">
        <v>65</v>
      </c>
      <c r="L51" s="60">
        <f t="shared" ref="L51:Q51" si="20">L20+L25+L35+L43+L48</f>
        <v>37.5</v>
      </c>
      <c r="M51" s="49">
        <f t="shared" si="20"/>
        <v>32.5</v>
      </c>
      <c r="N51" s="49">
        <f t="shared" si="20"/>
        <v>33.5</v>
      </c>
      <c r="O51" s="49">
        <f t="shared" si="20"/>
        <v>34.5</v>
      </c>
      <c r="P51" s="49">
        <f t="shared" si="20"/>
        <v>36.5</v>
      </c>
      <c r="Q51" s="50">
        <f t="shared" si="20"/>
        <v>34.5</v>
      </c>
      <c r="R51" s="50"/>
    </row>
    <row r="52" ht="15.75" customHeight="1">
      <c r="A52" s="61"/>
      <c r="B52" s="72"/>
      <c r="C52" s="72"/>
      <c r="D52" s="72"/>
      <c r="E52" s="72"/>
      <c r="F52" s="72"/>
      <c r="G52" s="72"/>
      <c r="H52" s="72"/>
      <c r="I52" s="72"/>
      <c r="J52" s="72"/>
      <c r="K52" s="73" t="s">
        <v>66</v>
      </c>
      <c r="L52" s="52"/>
      <c r="M52" s="74"/>
      <c r="N52" s="74"/>
      <c r="O52" s="74"/>
      <c r="P52" s="74"/>
      <c r="Q52" s="75"/>
      <c r="R52" s="75">
        <f>SUM(L51:Q51)</f>
        <v>209</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0">
    <mergeCell ref="J15:J16"/>
    <mergeCell ref="K15:K16"/>
    <mergeCell ref="H3:J3"/>
    <mergeCell ref="K3:K5"/>
    <mergeCell ref="S3:S11"/>
    <mergeCell ref="A15:A16"/>
    <mergeCell ref="B15:G15"/>
    <mergeCell ref="H15:H16"/>
    <mergeCell ref="I15:I16"/>
    <mergeCell ref="L15:Q15"/>
  </mergeCells>
  <conditionalFormatting sqref="A19">
    <cfRule type="notContainsBlanks" dxfId="0" priority="1">
      <formula>LEN(TRIM(A19))&gt;0</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